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ata Analytics &amp; power bi course\Projects\AB testing-Landing Page Test (Toy Store E-Commerce Dataset)\Maven+Fuzzy+Factory\"/>
    </mc:Choice>
  </mc:AlternateContent>
  <xr:revisionPtr revIDLastSave="0" documentId="13_ncr:1_{B7AB895C-4F59-4DDF-9BEF-836D18120AF3}" xr6:coauthVersionLast="47" xr6:coauthVersionMax="47" xr10:uidLastSave="{00000000-0000-0000-0000-000000000000}"/>
  <bookViews>
    <workbookView xWindow="-120" yWindow="-120" windowWidth="20730" windowHeight="11160" xr2:uid="{84DAB198-65BA-4AC0-B478-F6E0C20DEC29}"/>
  </bookViews>
  <sheets>
    <sheet name="Sheet1" sheetId="1" r:id="rId1"/>
  </sheets>
  <definedNames>
    <definedName name="ExternalData_1" localSheetId="0" hidden="1">Sheet1!$A$2:$D$4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8" i="1"/>
  <c r="B11" i="1"/>
  <c r="B12" i="1" s="1"/>
  <c r="B13" i="1" s="1"/>
  <c r="B8" i="1"/>
  <c r="E3" i="1"/>
  <c r="E4" i="1"/>
  <c r="B14" i="1" s="1"/>
  <c r="B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B10A45-1746-4644-9EE8-F6B4BCE40344}" keepAlive="1" name="Query - Landing_page_test" description="Connection to the 'Landing_page_test' query in the workbook." type="5" refreshedVersion="7" background="1" saveData="1">
    <dbPr connection="Provider=Microsoft.Mashup.OleDb.1;Data Source=$Workbook$;Location=Landing_page_test;Extended Properties=&quot;&quot;" command="SELECT * FROM [Landing_page_test]"/>
  </connection>
  <connection id="2" xr16:uid="{B7CD068F-BD60-44B2-900A-D6C2C65D6BAD}" keepAlive="1" name="Query - website_pageviews" description="Connection to the 'website_pageviews' query in the workbook." type="5" refreshedVersion="0" background="1">
    <dbPr connection="Provider=Microsoft.Mashup.OleDb.1;Data Source=$Workbook$;Location=website_pageviews;Extended Properties=&quot;&quot;" command="SELECT * FROM [website_pageviews]"/>
  </connection>
  <connection id="3" xr16:uid="{1DB5C9BB-E910-4325-9F50-81CF39308F84}" keepAlive="1" name="Query - website_sessions" description="Connection to the 'website_sessions' query in the workbook." type="5" refreshedVersion="0" background="1">
    <dbPr connection="Provider=Microsoft.Mashup.OleDb.1;Data Source=$Workbook$;Location=website_sessions;Extended Properties=&quot;&quot;" command="SELECT * FROM [website_sessions]"/>
  </connection>
</connections>
</file>

<file path=xl/sharedStrings.xml><?xml version="1.0" encoding="utf-8"?>
<sst xmlns="http://schemas.openxmlformats.org/spreadsheetml/2006/main" count="19" uniqueCount="19">
  <si>
    <t>Landing_page</t>
  </si>
  <si>
    <t>sessions</t>
  </si>
  <si>
    <t>bounced_sessions</t>
  </si>
  <si>
    <t>% Bounce rate</t>
  </si>
  <si>
    <t>/lander-1</t>
  </si>
  <si>
    <t>/home</t>
  </si>
  <si>
    <t>1-p</t>
  </si>
  <si>
    <t>Confidence :</t>
  </si>
  <si>
    <t>Z :</t>
  </si>
  <si>
    <t>Standard Error :</t>
  </si>
  <si>
    <t>Margin of Error :</t>
  </si>
  <si>
    <t>lower limit:</t>
  </si>
  <si>
    <t>upper limit:</t>
  </si>
  <si>
    <t>p1-p2</t>
  </si>
  <si>
    <t>α/2 :</t>
  </si>
  <si>
    <t>Alpha (α) :</t>
  </si>
  <si>
    <t xml:space="preserve">Conclusion </t>
  </si>
  <si>
    <t>After analyzing the A/B test results, we found that the new landing page (/lander-1) reduced the bounce rate from 58.34% to 53.24%, a difference of 5.10%.
At a 95% confidence level, the confidence interval for this difference (2.22% to 7.97%) does not include zero, indicating the improvement is statistically significant.
Therefore, we can conclude that the new landing page successfully improved user engagement and is the better-performing design.</t>
  </si>
  <si>
    <t>Landing Page A/B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</si>
</sst>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10" fontId="4" fillId="3" borderId="0" xfId="0" applyNumberFormat="1" applyFont="1" applyFill="1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0" xfId="0" applyNumberFormat="1" applyFont="1"/>
    <xf numFmtId="10" fontId="6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0</xdr:row>
      <xdr:rowOff>66675</xdr:rowOff>
    </xdr:from>
    <xdr:to>
      <xdr:col>6</xdr:col>
      <xdr:colOff>6686550</xdr:colOff>
      <xdr:row>9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63FB51-23C9-45A1-BB41-5F04C9512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46470" r="11520" b="12516"/>
        <a:stretch/>
      </xdr:blipFill>
      <xdr:spPr>
        <a:xfrm>
          <a:off x="5400675" y="66675"/>
          <a:ext cx="6638925" cy="182879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EBA1D5-33A4-42D1-A9C0-A492A33B0CF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Landing_page" tableColumnId="1"/>
      <queryTableField id="2" name="sessions" tableColumnId="2"/>
      <queryTableField id="3" name="bounced_sessions" tableColumnId="3"/>
      <queryTableField id="4" name="% Bounce rat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81F37-5229-4A5A-920A-E1DACC0494C3}" name="Landing_page_test" displayName="Landing_page_test" ref="A2:E4" tableType="queryTable" totalsRowShown="0">
  <autoFilter ref="A2:E4" xr:uid="{7C281F37-5229-4A5A-920A-E1DACC0494C3}"/>
  <tableColumns count="5">
    <tableColumn id="1" xr3:uid="{4AFA3FB2-4259-48C0-9331-DC4B171E8F2C}" uniqueName="1" name="Landing_page" queryTableFieldId="1"/>
    <tableColumn id="2" xr3:uid="{2B61CF1F-88FB-43BB-ADF0-CEDD9505E549}" uniqueName="2" name="sessions" queryTableFieldId="2"/>
    <tableColumn id="3" xr3:uid="{AA4AB0A0-F35F-4EA2-B352-2FFB9B796A5F}" uniqueName="3" name="bounced_sessions" queryTableFieldId="3"/>
    <tableColumn id="4" xr3:uid="{9CC44240-0DE9-4022-A6C0-959BAA2A250A}" uniqueName="4" name="% Bounce rate" queryTableFieldId="4" dataDxfId="1"/>
    <tableColumn id="5" xr3:uid="{CCA6D8D4-6B4F-4502-823A-2D0B74F18C66}" uniqueName="5" name="1-p" queryTableFieldId="5" dataDxfId="0">
      <calculatedColumnFormula>1-Landing_page_test[[#This Row],[% Bounce rate]]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34EB-6A79-497C-9BCC-28DE3B168283}">
  <dimension ref="A1:N15"/>
  <sheetViews>
    <sheetView tabSelected="1" workbookViewId="0">
      <selection activeCell="D13" sqref="D13"/>
    </sheetView>
  </sheetViews>
  <sheetFormatPr defaultRowHeight="15" x14ac:dyDescent="0.25"/>
  <cols>
    <col min="1" max="1" width="15.5703125" bestFit="1" customWidth="1"/>
    <col min="2" max="2" width="10.7109375" bestFit="1" customWidth="1"/>
    <col min="3" max="3" width="19.7109375" bestFit="1" customWidth="1"/>
    <col min="4" max="4" width="16" style="1" bestFit="1" customWidth="1"/>
    <col min="7" max="7" width="100.7109375" customWidth="1"/>
    <col min="8" max="8" width="9.5703125" bestFit="1" customWidth="1"/>
    <col min="10" max="10" width="15.28515625" bestFit="1" customWidth="1"/>
    <col min="13" max="13" width="11.42578125" bestFit="1" customWidth="1"/>
    <col min="14" max="14" width="9.5703125" bestFit="1" customWidth="1"/>
  </cols>
  <sheetData>
    <row r="1" spans="1:14" ht="20.25" x14ac:dyDescent="0.3">
      <c r="A1" s="12"/>
      <c r="B1" s="12"/>
      <c r="C1" s="13" t="s">
        <v>18</v>
      </c>
      <c r="D1" s="14"/>
      <c r="E1" s="12"/>
      <c r="G1" s="11"/>
    </row>
    <row r="2" spans="1:14" x14ac:dyDescent="0.25">
      <c r="A2" t="s">
        <v>0</v>
      </c>
      <c r="B2" t="s">
        <v>1</v>
      </c>
      <c r="C2" t="s">
        <v>2</v>
      </c>
      <c r="D2" s="1" t="s">
        <v>3</v>
      </c>
      <c r="E2" t="s">
        <v>6</v>
      </c>
      <c r="H2" s="1"/>
      <c r="K2" s="2"/>
      <c r="N2" s="5"/>
    </row>
    <row r="3" spans="1:14" x14ac:dyDescent="0.25">
      <c r="A3" t="s">
        <v>4</v>
      </c>
      <c r="B3">
        <v>2316</v>
      </c>
      <c r="C3">
        <v>1233</v>
      </c>
      <c r="D3" s="1">
        <v>0.53238341968911895</v>
      </c>
      <c r="E3" s="1">
        <f>1-Landing_page_test[[#This Row],[% Bounce rate]]</f>
        <v>0.46761658031088105</v>
      </c>
      <c r="K3" s="3"/>
      <c r="N3" s="5"/>
    </row>
    <row r="4" spans="1:14" x14ac:dyDescent="0.25">
      <c r="A4" t="s">
        <v>5</v>
      </c>
      <c r="B4">
        <v>2261</v>
      </c>
      <c r="C4">
        <v>1319</v>
      </c>
      <c r="D4" s="1">
        <v>0.58337019018133596</v>
      </c>
      <c r="E4" s="1">
        <f>1-Landing_page_test[[#This Row],[% Bounce rate]]</f>
        <v>0.41662980981866404</v>
      </c>
    </row>
    <row r="5" spans="1:14" x14ac:dyDescent="0.25">
      <c r="K5" s="3"/>
      <c r="N5" s="3"/>
    </row>
    <row r="6" spans="1:14" x14ac:dyDescent="0.25">
      <c r="K6" s="3"/>
    </row>
    <row r="7" spans="1:14" x14ac:dyDescent="0.25">
      <c r="K7" s="4"/>
    </row>
    <row r="8" spans="1:14" x14ac:dyDescent="0.25">
      <c r="A8" s="6" t="s">
        <v>13</v>
      </c>
      <c r="B8" s="1">
        <f>D4-D3</f>
        <v>5.0986770492217004E-2</v>
      </c>
      <c r="D8" s="19" t="s">
        <v>11</v>
      </c>
      <c r="E8" s="18">
        <f>B8+B15</f>
        <v>2.2248835453251174E-2</v>
      </c>
    </row>
    <row r="9" spans="1:14" x14ac:dyDescent="0.25">
      <c r="D9" s="19" t="s">
        <v>12</v>
      </c>
      <c r="E9" s="18">
        <f>B8-B15</f>
        <v>7.9724705531182827E-2</v>
      </c>
    </row>
    <row r="10" spans="1:14" ht="15.75" thickBot="1" x14ac:dyDescent="0.3">
      <c r="A10" s="6" t="s">
        <v>7</v>
      </c>
      <c r="B10" s="2">
        <v>0.95</v>
      </c>
      <c r="I10" s="3"/>
    </row>
    <row r="11" spans="1:14" ht="15.75" thickBot="1" x14ac:dyDescent="0.3">
      <c r="A11" s="6" t="s">
        <v>15</v>
      </c>
      <c r="B11" s="2">
        <f>1-B10</f>
        <v>5.0000000000000044E-2</v>
      </c>
      <c r="G11" s="9" t="s">
        <v>16</v>
      </c>
      <c r="I11" s="3"/>
    </row>
    <row r="12" spans="1:14" ht="90.75" thickBot="1" x14ac:dyDescent="0.3">
      <c r="A12" s="15" t="s">
        <v>14</v>
      </c>
      <c r="B12" s="17">
        <f>B11/2</f>
        <v>2.5000000000000022E-2</v>
      </c>
      <c r="G12" s="10" t="s">
        <v>17</v>
      </c>
    </row>
    <row r="13" spans="1:14" x14ac:dyDescent="0.25">
      <c r="A13" s="7" t="s">
        <v>8</v>
      </c>
      <c r="B13" s="8">
        <f>_xlfn.NORM.S.INV(B12)</f>
        <v>-1.9599639845400536</v>
      </c>
    </row>
    <row r="14" spans="1:14" x14ac:dyDescent="0.25">
      <c r="A14" s="15" t="s">
        <v>9</v>
      </c>
      <c r="B14" s="16">
        <f>SQRT(SUM(D4*E4/B4,D3*E3/B3))</f>
        <v>1.46624811811069E-2</v>
      </c>
    </row>
    <row r="15" spans="1:14" x14ac:dyDescent="0.25">
      <c r="A15" s="6" t="s">
        <v>10</v>
      </c>
      <c r="B15" s="1">
        <f>B14*B13</f>
        <v>-2.873793503896583E-2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17ED77-0499-4382-9946-60442F8C8A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jobyar ahmed</dc:creator>
  <cp:lastModifiedBy>jobyar ahmed</cp:lastModifiedBy>
  <dcterms:created xsi:type="dcterms:W3CDTF">2025-11-05T15:13:42Z</dcterms:created>
  <dcterms:modified xsi:type="dcterms:W3CDTF">2025-11-06T06:28:32Z</dcterms:modified>
</cp:coreProperties>
</file>