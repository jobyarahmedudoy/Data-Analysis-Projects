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hidePivotFieldList="1"/>
  <mc:AlternateContent xmlns:mc="http://schemas.openxmlformats.org/markup-compatibility/2006">
    <mc:Choice Requires="x15">
      <x15ac:absPath xmlns:x15ac="http://schemas.microsoft.com/office/spreadsheetml/2010/11/ac" url="V:\Data Analytics &amp; power bi course\Excel (chandoo)\My practice\Project\"/>
    </mc:Choice>
  </mc:AlternateContent>
  <xr:revisionPtr revIDLastSave="0" documentId="13_ncr:1_{595C21C8-5A6A-4523-95D7-D732A3BF24C4}" xr6:coauthVersionLast="47" xr6:coauthVersionMax="47" xr10:uidLastSave="{00000000-0000-0000-0000-000000000000}"/>
  <bookViews>
    <workbookView xWindow="-120" yWindow="-120" windowWidth="20730" windowHeight="11160" xr2:uid="{26D4546B-D2A1-4444-8EAF-A6228F96F0C1}"/>
  </bookViews>
  <sheets>
    <sheet name="Customer Centre Report" sheetId="5" r:id="rId1"/>
    <sheet name="Pivots" sheetId="6" r:id="rId2"/>
    <sheet name="Data" sheetId="2" r:id="rId3"/>
  </sheets>
  <definedNames>
    <definedName name="_xlnm._FilterDatabase" localSheetId="2" hidden="1">Data!$B$3:$H$1003</definedName>
    <definedName name="_xlcn.WorksheetConnection_Project.xlsxcalls" hidden="1">calls[]</definedName>
    <definedName name="_xlcn.WorksheetConnection_Project.xlsxcustomers" hidden="1">customers[]</definedName>
    <definedName name="Slicer_Representative">#N/A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s>
  <extLst>
    <ext xmlns:x14="http://schemas.microsoft.com/office/spreadsheetml/2009/9/main" uri="{876F7934-8845-4945-9796-88D515C7AA90}">
      <x14:pivotCaches>
        <pivotCache cacheId="9"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Project.xlsx!customers"/>
          <x15:modelTable id="calls" name="calls" connection="WorksheetConnection_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74" i="6" l="1"/>
  <c r="I77" i="6" s="1"/>
  <c r="I83" i="6" s="1"/>
  <c r="K30" i="5" s="1"/>
  <c r="I73" i="6"/>
  <c r="I76" i="6" s="1"/>
  <c r="I82" i="6" s="1"/>
  <c r="K29" i="5" s="1"/>
  <c r="I72" i="6"/>
  <c r="I81" i="6" s="1"/>
  <c r="K28" i="5" s="1"/>
  <c r="N16" i="5" a="1"/>
  <c r="N16" i="5" s="1"/>
  <c r="M17" i="5" a="1"/>
  <c r="M17" i="5" s="1"/>
  <c r="I45" i="6"/>
  <c r="J49"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51" i="6" l="1"/>
  <c r="J52" i="6"/>
  <c r="I50" i="6"/>
  <c r="J51" i="6"/>
  <c r="I48" i="6"/>
  <c r="I49" i="6"/>
  <c r="J50" i="6"/>
  <c r="I52" i="6"/>
  <c r="J48"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45D2AA-E770-4376-B404-908C9C18D80E}"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D00C628-9DDB-4197-B971-B57AAFAAAE6E}" name="WorksheetConnection_Project.xlsx!calls" type="102" refreshedVersion="7" minRefreshableVersion="5">
    <extLst>
      <ext xmlns:x15="http://schemas.microsoft.com/office/spreadsheetml/2010/11/main" uri="{DE250136-89BD-433C-8126-D09CA5730AF9}">
        <x15:connection id="calls" autoDelete="1">
          <x15:rangePr sourceName="_xlcn.WorksheetConnection_Project.xlsxcalls"/>
        </x15:connection>
      </ext>
    </extLst>
  </connection>
  <connection id="3" xr16:uid="{319C4A88-CA1C-48E3-922E-76BDAB00FE8C}" name="WorksheetConnection_Project.xlsx!customers" type="102" refreshedVersion="7" minRefreshableVersion="5">
    <extLst>
      <ext xmlns:x15="http://schemas.microsoft.com/office/spreadsheetml/2010/11/main" uri="{DE250136-89BD-433C-8126-D09CA5730AF9}">
        <x15:connection id="customers">
          <x15:rangePr sourceName="_xlcn.WorksheetConnection_Project.xlsxcustomer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<sst xmlns="http://schemas.openxmlformats.org/spreadsheetml/2006/main" count="3169" uniqueCount="1082">
  <si>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</si>
  <si>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</si>
  <si>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</si>
  <si>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</si>
  <si>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</si>
  <si>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</si>
  <si>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</si>
  <si>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</si>
  <si>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</si>
  <si>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</si>
  <si>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</si>
  <si>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</si>
  <si>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</si>
  <si>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</si>
  <si>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</si>
  <si>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</si>
  <si>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</si>
  <si>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</si>
  <si>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</si>
  <si>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</si>
  <si>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</si>
  <si>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</si>
  <si>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</si>
  <si>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</si>
  <si>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</si>
  <si>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</si>
  <si>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</si>
  <si>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</si>
  <si>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</si>
  <si>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</si>
  <si>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</si>
  <si>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</si>
  <si>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</si>
  <si>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</si>
  <si>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</si>
  <si>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</si>
  <si>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</si>
  <si>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</si>
  <si>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</si>
  <si>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</si>
  <si>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</si>
  <si>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</si>
  <si>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</si>
  <si>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</si>
  <si>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</si>
  <si>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</si>
  <si>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</si>
  <si>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</si>
  <si>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</si>
  <si>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</si>
  <si>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</si>
  <si>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</si>
  <si>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</si>
  <si>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</si>
  <si>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</si>
  <si>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</si>
  <si>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</si>
  <si>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</si>
  <si>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</si>
  <si>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</si>
  <si>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</si>
  <si>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</si>
  <si>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</si>
  <si>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</si>
  <si>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</si>
  <si>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</si>
  <si>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</si>
  <si>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</si>
  <si>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</si>
  <si>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</si>
  <si>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</si>
  <si>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</si>
  <si>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</si>
  <si>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</si>
  <si>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</si>
  <si>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</si>
  <si>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</si>
  <si>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</si>
  <si>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</si>
  <si>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</si>
  <si>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</si>
  <si>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</si>
  <si>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</si>
  <si>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</si>
  <si>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</si>
  <si>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</si>
  <si>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</si>
  <si>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</si>
  <si>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</si>
  <si>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</si>
  <si>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</si>
  <si>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</si>
  <si>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</si>
  <si>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</si>
  <si>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</si>
  <si>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</si>
  <si>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</si>
  <si>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</si>
  <si>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</si>
  <si>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</si>
  <si>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</si>
  <si>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</si>
  <si>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</si>
  <si>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</si>
  <si>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</si>
  <si>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</si>
  <si>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</si>
  <si>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</si>
  <si>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</si>
  <si>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</si>
  <si>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</si>
  <si>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</si>
  <si>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</si>
  <si>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</si>
  <si>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</si>
  <si>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</si>
  <si>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</si>
  <si>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</si>
  <si>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</si>
  <si>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</si>
  <si>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</si>
  <si>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</si>
  <si>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</si>
  <si>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</si>
  <si>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</si>
  <si>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</si>
  <si>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</si>
  <si>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</si>
  <si>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</si>
  <si>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</si>
  <si>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</si>
  <si>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</si>
  <si>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</si>
  <si>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</si>
  <si>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</si>
  <si>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</si>
  <si>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</si>
  <si>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</si>
  <si>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</si>
  <si>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</si>
  <si>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</si>
  <si>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</si>
  <si>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</si>
  <si>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</si>
  <si>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</si>
  <si>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</si>
  <si>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</si>
  <si>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</si>
  <si>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</si>
  <si>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</si>
  <si>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</si>
  <si>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</si>
  <si>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</si>
  <si>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</si>
  <si>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</si>
  <si>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</si>
  <si>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</si>
  <si>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</si>
  <si>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</si>
  <si>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</si>
  <si>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</si>
  <si>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</si>
  <si>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</si>
  <si>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</si>
  <si>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</si>
  <si>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</si>
  <si>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</si>
  <si>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</si>
  <si>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</si>
  <si>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</si>
  <si>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</si>
  <si>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</si>
  <si>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</si>
  <si>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</si>
  <si>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</si>
  <si>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</si>
  <si>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</si>
  <si>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</si>
  <si>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</si>
  <si>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</si>
  <si>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</si>
  <si>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</si>
  <si>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</si>
  <si>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</si>
  <si>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</si>
  <si>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</si>
  <si>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</si>
  <si>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</si>
  <si>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</si>
  <si>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</si>
  <si>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</si>
  <si>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</si>
  <si>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</si>
  <si>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</si>
  <si>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</si>
  <si>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</si>
  <si>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</si>
  <si>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</si>
  <si>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</si>
  <si>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</si>
  <si>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</si>
  <si>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</si>
  <si>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</si>
  <si>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</si>
  <si>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</si>
  <si>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</si>
  <si>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</si>
  <si>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</si>
  <si>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</si>
  <si>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</si>
  <si>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</si>
  <si>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</si>
  <si>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</si>
  <si>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</si>
  <si>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</si>
  <si>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</si>
  <si>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</si>
  <si>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</si>
  <si>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</si>
  <si>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</si>
  <si>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</si>
  <si>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</si>
  <si>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</si>
  <si>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</si>
  <si>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</si>
  <si>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</si>
  <si>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</si>
  <si>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</si>
  <si>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</si>
  <si>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</si>
  <si>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</si>
  <si>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</si>
  <si>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</si>
  <si>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</si>
  <si>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</si>
  <si>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</si>
  <si>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</si>
  <si>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</si>
  <si>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</si>
  <si>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</si>
  <si>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</si>
  <si>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</si>
  <si>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</si>
  <si>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</si>
  <si>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</si>
  <si>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</si>
  <si>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</si>
  <si>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</si>
  <si>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</si>
  <si>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</si>
  <si>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</si>
  <si>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</si>
  <si>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</si>
  <si>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</si>
  <si>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</si>
  <si>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</si>
  <si>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</si>
  <si>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</si>
  <si>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</si>
  <si>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</si>
  <si>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</si>
  <si>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</si>
  <si>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</si>
  <si>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</si>
  <si>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</si>
  <si>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</si>
  <si>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</si>
  <si>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</si>
  <si>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</si>
  <si>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</si>
  <si>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</si>
  <si>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</si>
  <si>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</si>
  <si>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</si>
  <si>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</si>
  <si>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</si>
  <si>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</si>
  <si>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</si>
  <si>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</si>
  <si>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</si>
  <si>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</si>
  <si>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</si>
  <si>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</si>
  <si>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</si>
  <si>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</si>
  <si>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</si>
  <si>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</si>
  <si>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</si>
  <si>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</si>
  <si>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</si>
  <si>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</si>
  <si>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</si>
  <si>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</si>
  <si>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</si>
  <si>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</si>
  <si>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</si>
  <si>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</si>
  <si>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</si>
  <si>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</si>
  <si>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</si>
  <si>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</si>
  <si>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</si>
  <si>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</si>
  <si>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</si>
  <si>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</si>
  <si>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</si>
  <si>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</si>
  <si>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</si>
  <si>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</si>
  <si>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</si>
  <si>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</si>
  <si>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</si>
  <si>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</si>
  <si>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</si>
  <si>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</si>
  <si>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</si>
  <si>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</si>
  <si>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</si>
  <si>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</si>
  <si>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</si>
  <si>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</si>
  <si>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</si>
  <si>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</si>
  <si>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</si>
  <si>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</si>
  <si>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</si>
  <si>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</si>
  <si>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</si>
  <si>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</si>
  <si>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</si>
  <si>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</si>
  <si>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</si>
  <si>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</si>
  <si>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</si>
  <si>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</si>
  <si>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</si>
  <si>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</si>
  <si>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</si>
  <si>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</si>
  <si>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</si>
  <si>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</si>
  <si>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</si>
  <si>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</si>
  <si>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</si>
  <si>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</si>
  <si>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</si>
  <si>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</si>
  <si>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</si>
  <si>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</si>
  <si>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</si>
  <si>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</si>
  <si>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</si>
  <si>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</si>
  <si>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</si>
  <si>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</si>
  <si>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</si>
  <si>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</si>
  <si>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</si>
  <si>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</si>
  <si>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</si>
  <si>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</si>
  <si>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</si>
  <si>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</si>
  <si>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</si>
  <si>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</si>
  <si>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</si>
  <si>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</si>
  <si>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</si>
  <si>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</si>
  <si>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</si>
  <si>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</si>
  <si>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</si>
  <si>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</si>
  <si>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</si>
  <si>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</si>
  <si>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</si>
  <si>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</si>
  <si>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</si>
  <si>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</si>
  <si>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</si>
  <si>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</si>
  <si>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</si>
  <si>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</si>
  <si>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</si>
  <si>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</si>
  <si>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</si>
  <si>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</si>
  <si>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</si>
  <si>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</si>
  <si>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</si>
  <si>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</si>
  <si>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</si>
  <si>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</si>
  <si>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</si>
  <si>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</si>
  <si>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</si>
  <si>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</si>
  <si>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</si>
  <si>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</si>
  <si>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</si>
  <si>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</si>
  <si>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</si>
  <si>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</si>
  <si>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</si>
  <si>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</si>
  <si>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</si>
  <si>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</si>
  <si>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</si>
  <si>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</si>
  <si>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</si>
  <si>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</si>
  <si>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</si>
  <si>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</si>
  <si>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</si>
  <si>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</si>
  <si>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</si>
  <si>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</si>
  <si>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</si>
  <si>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</si>
  <si>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</si>
  <si>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</si>
  <si>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</si>
  <si>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</si>
  <si>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</si>
  <si>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</si>
  <si>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</si>
  <si>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</si>
  <si>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</si>
  <si>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</si>
  <si>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</si>
  <si>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</si>
  <si>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</si>
  <si>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</si>
  <si>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</si>
  <si>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</si>
  <si>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</si>
  <si>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</si>
  <si>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</si>
  <si>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</si>
  <si>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</si>
  <si>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</si>
  <si>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</si>
  <si>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</si>
  <si>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</si>
  <si>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</si>
  <si>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</si>
  <si>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</si>
  <si>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</si>
  <si>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</si>
  <si>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</si>
  <si>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</si>
  <si>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</si>
  <si>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</si>
  <si>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</si>
  <si>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</si>
  <si>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</si>
  <si>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</si>
  <si>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</si>
  <si>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</si>
  <si>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</si>
  <si>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</si>
  <si>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</si>
  <si>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</si>
  <si>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</si>
  <si>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</si>
  <si>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</si>
  <si>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</si>
  <si>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</si>
  <si>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</si>
  <si>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</si>
  <si>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</si>
  <si>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</si>
  <si>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</si>
  <si>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</si>
  <si>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</si>
  <si>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</si>
  <si>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</si>
  <si>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</si>
  <si>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</si>
  <si>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</si>
  <si>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</si>
  <si>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</si>
  <si>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</si>
  <si>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</si>
  <si>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</si>
  <si>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</si>
  <si>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</si>
  <si>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</si>
  <si>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</si>
  <si>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</si>
  <si>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</si>
  <si>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</si>
  <si>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</si>
  <si>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</si>
  <si>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</si>
  <si>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</si>
  <si>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</si>
  <si>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</si>
  <si>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</si>
  <si>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</si>
  <si>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</si>
  <si>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</si>
  <si>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</si>
  <si>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</si>
  <si>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</si>
  <si>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</si>
  <si>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</si>
  <si>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</si>
  <si>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</si>
  <si>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</si>
  <si>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</si>
  <si>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</si>
  <si>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</si>
  <si>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</si>
  <si>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</si>
  <si>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</si>
  <si>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</si>
  <si>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</si>
  <si>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</si>
  <si>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</si>
  <si>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</si>
  <si>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</si>
  <si>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</si>
  <si>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</si>
  <si>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</si>
  <si>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</si>
  <si>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</si>
  <si>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</si>
  <si>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</si>
  <si>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</si>
  <si>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</si>
  <si>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</si>
  <si>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</si>
  <si>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</si>
  <si>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</si>
  <si>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</si>
  <si>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</si>
  <si>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</si>
  <si>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</si>
  <si>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</si>
  <si>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</si>
  <si>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</si>
  <si>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</si>
  <si>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</si>
  <si>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</si>
  <si>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</si>
  <si>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</si>
  <si>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</si>
  <si>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</si>
  <si>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</si>
  <si>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</si>
  <si>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</si>
  <si>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</si>
  <si>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</si>
  <si>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</si>
  <si>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</si>
  <si>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</si>
  <si>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</si>
  <si>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</si>
  <si>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</si>
  <si>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</si>
  <si>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</si>
  <si>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</si>
  <si>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</si>
  <si>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</si>
  <si>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</si>
  <si>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</si>
  <si>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</si>
  <si>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</si>
  <si>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</si>
  <si>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</si>
  <si>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</si>
  <si>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</si>
  <si>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</si>
  <si>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</si>
  <si>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</si>
  <si>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</si>
  <si>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</si>
  <si>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</si>
  <si>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</si>
  <si>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</si>
  <si>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</si>
  <si>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</si>
  <si>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</si>
  <si>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</si>
  <si>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</si>
  <si>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</si>
  <si>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</si>
  <si>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</si>
  <si>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</si>
  <si>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</si>
  <si>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</si>
  <si>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</si>
  <si>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</si>
  <si>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</si>
  <si>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</si>
  <si>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</si>
  <si>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</si>
  <si>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</si>
  <si>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</si>
  <si>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</si>
  <si>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</si>
  <si>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</si>
  <si>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</si>
  <si>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</si>
  <si>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</si>
  <si>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</si>
  <si>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</si>
  <si>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</si>
  <si>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</si>
  <si>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</si>
  <si>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</si>
  <si>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</si>
  <si>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</si>
  <si>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</si>
  <si>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</si>
  <si>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</si>
  <si>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</si>
  <si>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</si>
  <si>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</si>
  <si>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</si>
  <si>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</si>
  <si>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</si>
  <si>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</si>
  <si>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</si>
  <si>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</si>
  <si>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</si>
  <si>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</si>
  <si>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</si>
  <si>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</si>
  <si>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</si>
  <si>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</si>
  <si>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</si>
  <si>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</si>
  <si>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</si>
  <si>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</si>
  <si>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</si>
  <si>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</si>
  <si>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</si>
  <si>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</si>
  <si>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</si>
  <si>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</si>
  <si>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</si>
  <si>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</si>
  <si>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</si>
  <si>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</si>
  <si>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</si>
  <si>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</si>
  <si>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</si>
  <si>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</si>
  <si>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</si>
  <si>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</si>
  <si>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</si>
  <si>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</si>
  <si>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</si>
  <si>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</si>
  <si>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</si>
  <si>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</si>
  <si>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</si>
  <si>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</si>
  <si>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</si>
  <si>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</si>
  <si>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</si>
  <si>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</si>
  <si>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</si>
  <si>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</si>
  <si>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</si>
  <si>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</si>
  <si>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</si>
  <si>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</si>
  <si>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</si>
  <si>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</si>
  <si>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</si>
  <si>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</si>
  <si>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</si>
  <si>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</si>
  <si>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</si>
  <si>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</si>
  <si>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</si>
  <si>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</si>
  <si>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</si>
  <si>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</si>
  <si>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</si>
  <si>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</si>
  <si>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</si>
  <si>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</si>
  <si>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</si>
  <si>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</si>
  <si>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</si>
  <si>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</si>
  <si>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</si>
  <si>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</si>
  <si>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</si>
  <si>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</si>
  <si>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</si>
  <si>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</si>
  <si>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</si>
  <si>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</si>
  <si>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</si>
  <si>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</si>
  <si>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</si>
  <si>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</si>
  <si>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</si>
  <si>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</si>
  <si>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</si>
  <si>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</si>
  <si>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</si>
  <si>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</si>
  <si>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</si>
  <si>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</si>
  <si>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</si>
  <si>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</si>
  <si>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</si>
  <si>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</si>
  <si>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</si>
  <si>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</si>
  <si>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</si>
  <si>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</si>
  <si>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</si>
  <si>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</si>
  <si>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</si>
  <si>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</si>
  <si>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</si>
  <si>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</si>
  <si>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</si>
  <si>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</si>
  <si>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</si>
  <si>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</si>
  <si>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</si>
  <si>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</si>
  <si>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</si>
  <si>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</si>
  <si>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</si>
  <si>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</si>
  <si>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</si>
  <si>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</si>
  <si>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</si>
  <si>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</si>
  <si>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</si>
  <si>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</si>
  <si>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</si>
  <si>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</si>
  <si>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</si>
  <si>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</si>
  <si>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</si>
  <si>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</si>
  <si>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</si>
  <si>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</si>
  <si>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</si>
  <si>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</si>
  <si>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</si>
  <si>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</si>
  <si>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</si>
  <si>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</si>
  <si>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</si>
  <si>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</si>
  <si>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</si>
  <si>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</si>
  <si>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</si>
  <si>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</si>
  <si>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</si>
  <si>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</si>
  <si>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</si>
  <si>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</si>
  <si>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</si>
  <si>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</si>
  <si>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</si>
  <si>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</si>
  <si>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</si>
  <si>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</si>
  <si>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</si>
  <si>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</si>
  <si>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</si>
  <si>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</si>
  <si>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</si>
  <si>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</si>
  <si>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</si>
  <si>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</si>
  <si>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</si>
  <si>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</si>
  <si>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</si>
  <si>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</si>
  <si>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</si>
  <si>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</si>
  <si>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</si>
  <si>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</si>
  <si>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</si>
  <si>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</si>
  <si>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</si>
  <si>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</si>
  <si>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</si>
  <si>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</si>
  <si>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</si>
  <si>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</si>
  <si>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</si>
  <si>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</si>
  <si>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</si>
  <si>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</si>
  <si>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</si>
  <si>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</si>
  <si>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</si>
  <si>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</si>
  <si>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</si>
  <si>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</si>
  <si>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</si>
  <si>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</si>
  <si>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</si>
  <si>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</si>
  <si>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</si>
  <si>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</si>
  <si>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</si>
  <si>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</si>
  <si>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</si>
  <si>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</si>
  <si>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</si>
  <si>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</si>
  <si>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</si>
  <si>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</si>
  <si>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</si>
  <si>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</si>
  <si>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</si>
  <si>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</si>
  <si>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</si>
  <si>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</si>
  <si>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</si>
  <si>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</si>
  <si>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</si>
  <si>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</si>
  <si>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</si>
  <si>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</si>
  <si>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</si>
  <si>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</si>
  <si>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</si>
  <si>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</si>
  <si>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</si>
  <si>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</si>
  <si>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</si>
  <si>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</si>
  <si>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</si>
  <si>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</si>
  <si>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</si>
  <si>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</si>
  <si>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</si>
  <si>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</si>
  <si>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</si>
  <si>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</si>
  <si>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</si>
  <si>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</si>
  <si>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</si>
  <si>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</si>
  <si>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</si>
  <si>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</si>
  <si>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</si>
  <si>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</si>
  <si>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</si>
  <si>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</si>
  <si>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</si>
  <si>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</si>
  <si>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</si>
  <si>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</si>
  <si>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</si>
  <si>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</si>
  <si>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</si>
  <si>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</si>
  <si>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</si>
  <si>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</si>
  <si>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</si>
  <si>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</si>
  <si>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</si>
  <si>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</si>
  <si>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</si>
  <si>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</si>
  <si>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</si>
  <si>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</si>
  <si>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</si>
  <si>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</si>
  <si>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</si>
  <si>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</si>
  <si>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</si>
  <si>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</si>
  <si>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</si>
  <si>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</si>
  <si>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</si>
  <si>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</si>
  <si>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</si>
  <si>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</si>
  <si>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</si>
  <si>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</si>
  <si>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</si>
  <si>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</si>
  <si>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</si>
  <si>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</si>
  <si>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</si>
  <si>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</si>
  <si>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</si>
  <si>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</si>
  <si>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</si>
  <si>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</si>
  <si>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</si>
  <si>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</si>
  <si>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</si>
  <si>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</si>
  <si>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</si>
  <si>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</si>
  <si>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</si>
  <si>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</si>
  <si>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</si>
  <si>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</si>
  <si>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</si>
  <si>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</si>
  <si>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</si>
  <si>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</si>
  <si>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</si>
  <si>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</si>
  <si>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</si>
  <si>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</si>
  <si>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</si>
  <si>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</si>
  <si>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</si>
  <si>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</si>
  <si>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</si>
  <si>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</si>
  <si>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</si>
  <si>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</si>
  <si>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</si>
  <si>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</si>
  <si>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</si>
  <si>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</si>
  <si>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</si>
  <si>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</si>
  <si>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</si>
  <si>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</si>
  <si>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</si>
  <si>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</si>
  <si>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</si>
  <si>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</si>
  <si>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</si>
  <si>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</si>
  <si>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</si>
  <si>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</si>
  <si>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</si>
  <si>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</si>
  <si>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</si>
  <si>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</si>
  <si>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</si>
  <si>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</si>
  <si>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</si>
  <si>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</si>
  <si>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</si>
  <si>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</si>
  <si>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</si>
  <si>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</si>
  <si>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</si>
  <si>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</si>
  <si>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</si>
  <si>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</si>
  <si>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</si>
  <si>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</si>
  <si>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</si>
  <si>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</si>
  <si>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</si>
  <si>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</si>
  <si>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</si>
  <si>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</si>
  <si>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</si>
  <si>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</si>
  <si>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</si>
  <si>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</si>
  <si>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</si>
  <si>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</si>
  <si>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</si>
  <si>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</si>
  <si>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</si>
  <si>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</si>
  <si>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</si>
  <si>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</si>
  <si>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</si>
  <si>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</si>
  <si>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</si>
  <si>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</si>
  <si>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</si>
  <si>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</si>
  <si>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</si>
  <si>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</si>
  <si>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</si>
  <si>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</si>
  <si>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</si>
  <si>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</si>
  <si>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</si>
  <si>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</si>
  <si>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</si>
  <si>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</si>
  <si>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</si>
  <si>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</si>
  <si>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</si>
  <si>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</si>
  <si>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</si>
  <si>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</si>
  <si>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</si>
  <si>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</si>
  <si>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</si>
  <si>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</si>
  <si>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</si>
  <si>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</si>
  <si>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</si>
  <si>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</si>
  <si>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</si>
  <si>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</si>
  <si>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</si>
  <si>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</si>
  <si>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</si>
  <si>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</si>
  <si>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</si>
  <si>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</si>
  <si>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</si>
  <si>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</si>
  <si>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</si>
  <si>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</si>
  <si>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</si>
  <si>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</si>
  <si>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</si>
  <si>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</si>
  <si>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</si>
  <si>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</si>
  <si>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</si>
  <si>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</si>
  <si>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</si>
  <si>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</si>
  <si>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</si>
  <si>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</si>
  <si>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</si>
  <si>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</si>
  <si>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</si>
  <si>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</si>
  <si>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</si>
  <si>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</si>
  <si>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</si>
  <si>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</si>
  <si>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</si>
  <si>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</si>
  <si>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 xml:space="preserve">Call Count </t>
  </si>
  <si>
    <t>Total Amount</t>
  </si>
  <si>
    <t>Total Duration</t>
  </si>
  <si>
    <t>Avg. Rating</t>
  </si>
  <si>
    <t>5* Calls</t>
  </si>
  <si>
    <t>Row Labels</t>
  </si>
  <si>
    <t>Grand Total</t>
  </si>
  <si>
    <t>Jan</t>
  </si>
  <si>
    <t>Feb</t>
  </si>
  <si>
    <t>Mar</t>
  </si>
  <si>
    <t>Apr</t>
  </si>
  <si>
    <t>May</t>
  </si>
  <si>
    <t>Jun</t>
  </si>
  <si>
    <t>Jul</t>
  </si>
  <si>
    <t>Aug</t>
  </si>
  <si>
    <t>Sep</t>
  </si>
  <si>
    <t>Oct</t>
  </si>
  <si>
    <t>Nov</t>
  </si>
  <si>
    <t>Dec</t>
  </si>
  <si>
    <t>Call Count 2</t>
  </si>
  <si>
    <t>Friday</t>
  </si>
  <si>
    <t>Monday</t>
  </si>
  <si>
    <t>Saturday</t>
  </si>
  <si>
    <t>Sunday</t>
  </si>
  <si>
    <t>Thursday</t>
  </si>
  <si>
    <t>Tuesday</t>
  </si>
  <si>
    <t>Wednesday</t>
  </si>
  <si>
    <t>For graph</t>
  </si>
  <si>
    <t>Rep</t>
  </si>
  <si>
    <t>Calls</t>
  </si>
  <si>
    <t>Amount</t>
  </si>
  <si>
    <t>Sel. Calls</t>
  </si>
  <si>
    <t>Sel.Amount</t>
  </si>
  <si>
    <t>seelcted rep</t>
  </si>
  <si>
    <t>Column Labels</t>
  </si>
  <si>
    <t>TOTAL</t>
  </si>
  <si>
    <t>Rep Summary</t>
  </si>
  <si>
    <t>% of Calls</t>
  </si>
  <si>
    <t>Call Rank</t>
  </si>
  <si>
    <t>Amount Rank</t>
  </si>
  <si>
    <t>Labels :</t>
  </si>
  <si>
    <t>Call centre Report - 2023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</si>
</sst>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quot;$&quot;#,###.0,&quot;k&quot;"/>
    <numFmt numFmtId="168" formatCode="&quot;$&quot;#,##0"/>
  </numFmts>
  <fonts count="9">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sz val="10"/>
      <color theme="1"/>
      <name val="Aptos"/>
      <family val="2"/>
      <scheme val="minor"/>
    </font>
    <font>
      <b/>
      <sz val="11"/>
      <color theme="1"/>
      <name val="Aptos"/>
      <scheme val="minor"/>
    </font>
    <font>
      <b/>
      <sz val="34"/>
      <color theme="1" tint="0.34998626667073579"/>
      <name val="Aptos"/>
      <scheme val="minor"/>
    </font>
    <font>
      <b/>
      <sz val="11"/>
      <color theme="0" tint="-0.499984740745262"/>
      <name val="Aptos"/>
      <scheme val="minor"/>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2">
    <xf numFmtId="0" fontId="0" fillId="0" borderId="0"/>
    <xf numFmtId="9" fontId="4" fillId="0" borderId="0" applyFont="0" applyFill="0" applyBorder="0" applyAlignment="0" applyProtection="0"/>
  </cellStyleXfs>
  <cellXfs count="46">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4" borderId="0" xfId="0" applyFill="1" applyAlignment="1">
      <alignment horizontal="left"/>
    </xf>
    <xf numFmtId="0" fontId="0" fillId="0" borderId="0" xfId="0" applyAlignment="1">
      <alignment horizontal="left" indent="1"/>
    </xf>
    <xf numFmtId="0" fontId="0" fillId="0" borderId="0" xfId="0" applyNumberFormat="1"/>
    <xf numFmtId="0" fontId="0" fillId="5" borderId="10" xfId="0" applyFill="1" applyBorder="1"/>
    <xf numFmtId="0" fontId="0" fillId="5" borderId="0" xfId="0" applyFill="1" applyBorder="1"/>
    <xf numFmtId="0" fontId="0" fillId="5" borderId="14" xfId="0" applyFill="1" applyBorder="1"/>
    <xf numFmtId="0" fontId="0" fillId="5" borderId="13" xfId="0" applyFill="1" applyBorder="1" applyAlignment="1">
      <alignment horizontal="left" indent="1"/>
    </xf>
    <xf numFmtId="168" fontId="5" fillId="5" borderId="0" xfId="0" applyNumberFormat="1" applyFont="1" applyFill="1" applyBorder="1"/>
    <xf numFmtId="168" fontId="5" fillId="5" borderId="14" xfId="0" applyNumberFormat="1" applyFont="1" applyFill="1" applyBorder="1"/>
    <xf numFmtId="0" fontId="0" fillId="5" borderId="15" xfId="0" applyFill="1" applyBorder="1" applyAlignment="1">
      <alignment horizontal="left" indent="1"/>
    </xf>
    <xf numFmtId="168" fontId="5" fillId="5" borderId="16" xfId="0" applyNumberFormat="1" applyFont="1" applyFill="1" applyBorder="1"/>
    <xf numFmtId="168" fontId="5" fillId="5" borderId="17" xfId="0" applyNumberFormat="1" applyFont="1" applyFill="1" applyBorder="1"/>
    <xf numFmtId="0" fontId="6" fillId="5" borderId="11" xfId="0" applyFont="1" applyFill="1" applyBorder="1"/>
    <xf numFmtId="0" fontId="6" fillId="5" borderId="12" xfId="0" applyFont="1" applyFill="1" applyBorder="1"/>
    <xf numFmtId="0" fontId="6" fillId="5" borderId="13" xfId="0" applyFont="1" applyFill="1" applyBorder="1"/>
    <xf numFmtId="9" fontId="0" fillId="0" borderId="0" xfId="1" applyFont="1"/>
    <xf numFmtId="0" fontId="7" fillId="3" borderId="0" xfId="0" applyFont="1" applyFill="1" applyAlignment="1"/>
    <xf numFmtId="0" fontId="8" fillId="3" borderId="0" xfId="0" applyFont="1" applyFill="1" applyAlignment="1">
      <alignment horizontal="left" indent="1"/>
    </xf>
    <xf numFmtId="0" fontId="8" fillId="3" borderId="14" xfId="0" applyFont="1" applyFill="1" applyBorder="1" applyAlignment="1">
      <alignment horizontal="left" indent="1"/>
    </xf>
  </cellXfs>
  <cellStyles count="2">
    <cellStyle name="Normal" xfId="0" builtinId="0"/>
    <cellStyle name="Percent" xfId="1" builtinId="5"/>
  </cellStyles>
  <dxfs count="19">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theme="8"/>
        </patternFill>
      </fill>
    </dxf>
    <dxf>
      <fill>
        <patternFill>
          <bgColor theme="8" tint="0.59996337778862885"/>
        </patternFill>
      </fill>
      <border>
        <left style="thin">
          <color theme="1" tint="0.34998626667073579"/>
        </left>
        <right style="thin">
          <color theme="1" tint="0.34998626667073579"/>
        </right>
        <vertical/>
        <horizontal/>
      </border>
    </dxf>
    <dxf>
      <font>
        <b/>
        <color theme="1"/>
      </font>
      <border>
        <bottom style="thin">
          <color theme="8"/>
        </bottom>
        <vertical/>
        <horizontal/>
      </border>
    </dxf>
    <dxf>
      <font>
        <color theme="1"/>
      </font>
      <border>
        <left style="thin">
          <color theme="0" tint="-0.24994659260841701"/>
        </left>
        <right style="thin">
          <color theme="0" tint="-0.24994659260841701"/>
        </right>
        <top style="thin">
          <color theme="0" tint="-0.24994659260841701"/>
        </top>
        <bottom style="thin">
          <color theme="0" tint="-0.2499465926084170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8"/>
    </tableStyle>
    <tableStyle name="SlicerStyleDark5 2" pivot="0" table="0" count="10" xr9:uid="{C8C8B853-ED12-43D9-BA48-D5E8176D716A}">
      <tableStyleElement type="wholeTable" dxfId="17"/>
      <tableStyleElement type="headerRow" dxfId="1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tyles" Target="styles.xml"/><Relationship Id="rId25"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theme" Target="theme/theme1.xml"/><Relationship Id="rId10" Type="http://schemas.openxmlformats.org/officeDocument/2006/relationships/pivotCacheDefinition" Target="pivotCache/pivotCacheDefinition7.xml"/><Relationship Id="rId19"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[Project.xlsx]Pivots!weekday trend</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gs>
              <a:gs pos="100000">
                <a:schemeClr val="accent5">
                  <a:lumMod val="60000"/>
                  <a:lumOff val="40000"/>
                </a:scheme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Pivots!$H$24</c:f>
              <c:strCache>
                <c:ptCount val="1"/>
                <c:pt idx="0">
                  <c:v>Total</c:v>
                </c:pt>
              </c:strCache>
            </c:strRef>
          </c:tx>
          <c:spPr>
            <a:gradFill flip="none" rotWithShape="1">
              <a:gsLst>
                <a:gs pos="0">
                  <a:schemeClr val="accent5"/>
                </a:gs>
                <a:gs pos="100000">
                  <a:schemeClr val="accent5">
                    <a:lumMod val="60000"/>
                    <a:lumOff val="40000"/>
                  </a:schemeClr>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Pivots!$G$25:$G$32</c:f>
              <c:strCache>
                <c:ptCount val="7"/>
                <c:pt idx="0">
                  <c:v>Sunday</c:v>
                </c:pt>
                <c:pt idx="1">
                  <c:v>Monday</c:v>
                </c:pt>
                <c:pt idx="2">
                  <c:v>Tuesday</c:v>
                </c:pt>
                <c:pt idx="3">
                  <c:v>Wednesday</c:v>
                </c:pt>
                <c:pt idx="4">
                  <c:v>Thursday</c:v>
                </c:pt>
                <c:pt idx="5">
                  <c:v>Friday</c:v>
                </c:pt>
                <c:pt idx="6">
                  <c:v>Saturday</c:v>
                </c:pt>
              </c:strCache>
            </c:strRef>
          </c:cat>
          <c:val>
            <c:numRef>
              <c:f>Pivots!$H$25:$H$32</c:f>
              <c:numCache>
                <c:formatCode>#,##0</c:formatCode>
                <c:ptCount val="7"/>
                <c:pt idx="0">
                  <c:v>30</c:v>
                </c:pt>
                <c:pt idx="1">
                  <c:v>34</c:v>
                </c:pt>
                <c:pt idx="2">
                  <c:v>26</c:v>
                </c:pt>
                <c:pt idx="3">
                  <c:v>38</c:v>
                </c:pt>
                <c:pt idx="4">
                  <c:v>27</c:v>
                </c:pt>
                <c:pt idx="5">
                  <c:v>27</c:v>
                </c:pt>
                <c:pt idx="6">
                  <c:v>25</c:v>
                </c:pt>
              </c:numCache>
            </c:numRef>
          </c:val>
          <c:extLst>
            <c:ext xmlns:c16="http://schemas.microsoft.com/office/drawing/2014/chart" uri="{C3380CC4-5D6E-409C-BE32-E72D297353CC}">
              <c16:uniqueId val="{00000000-804F-4F2B-98A1-65663C41B691}"/>
            </c:ext>
          </c:extLst>
        </c:ser>
        <c:dLbls>
          <c:dLblPos val="outEnd"/>
          <c:showLegendKey val="0"/>
          <c:showVal val="1"/>
          <c:showCatName val="0"/>
          <c:showSerName val="0"/>
          <c:showPercent val="0"/>
          <c:showBubbleSize val="0"/>
        </c:dLbls>
        <c:gapWidth val="25"/>
        <c:axId val="1663947552"/>
        <c:axId val="1663945472"/>
      </c:barChart>
      <c:catAx>
        <c:axId val="16639475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63945472"/>
        <c:crosses val="autoZero"/>
        <c:auto val="1"/>
        <c:lblAlgn val="ctr"/>
        <c:lblOffset val="100"/>
        <c:noMultiLvlLbl val="0"/>
      </c:catAx>
      <c:valAx>
        <c:axId val="1663945472"/>
        <c:scaling>
          <c:orientation val="minMax"/>
        </c:scaling>
        <c:delete val="1"/>
        <c:axPos val="b"/>
        <c:numFmt formatCode="#,##0" sourceLinked="1"/>
        <c:majorTickMark val="out"/>
        <c:minorTickMark val="none"/>
        <c:tickLblPos val="nextTo"/>
        <c:crossAx val="1663947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[Project.xlsx]Pivots!Monthly Trend</c:name>
    <c:fmtId val="4"/>
  </c:pivotSource>
  <c:chart>
    <c:title>
      <c:tx>
        <c:rich>
          <a:bodyPr rot="0" spcFirstLastPara="1" vertOverflow="ellipsis" vert="horz" wrap="square" anchor="ctr" anchorCtr="1"/>
          <a:lstStyle/>
          <a:p>
            <a:pPr>
              <a:defRPr sz="1400" b="1" i="0" u="none" strike="noStrike" kern="1200" spc="0" baseline="0">
                <a:solidFill>
                  <a:schemeClr val="accent6"/>
                </a:solidFill>
                <a:latin typeface="+mn-lt"/>
                <a:ea typeface="+mn-ea"/>
                <a:cs typeface="+mn-cs"/>
              </a:defRPr>
            </a:pPr>
            <a:r>
              <a:rPr lang="en-US" b="1">
                <a:solidFill>
                  <a:schemeClr val="accent6"/>
                </a:solidFill>
                <a:latin typeface="+mn-lt"/>
              </a:rPr>
              <a:t>Call</a:t>
            </a:r>
            <a:r>
              <a:rPr lang="en-US" b="1" baseline="0">
                <a:solidFill>
                  <a:schemeClr val="accent6"/>
                </a:solidFill>
                <a:latin typeface="+mn-lt"/>
              </a:rPr>
              <a:t> Trend</a:t>
            </a:r>
            <a:endParaRPr lang="en-US" b="1">
              <a:solidFill>
                <a:schemeClr val="accent6"/>
              </a:solidFill>
              <a:latin typeface="+mn-lt"/>
            </a:endParaRPr>
          </a:p>
        </c:rich>
      </c:tx>
      <c:layout>
        <c:manualLayout>
          <c:xMode val="edge"/>
          <c:yMode val="edge"/>
          <c:x val="2.270111217414653E-2"/>
          <c:y val="3.922848585251942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6"/>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40000"/>
                  <a:lumOff val="60000"/>
                </a:schemeClr>
              </a:gs>
              <a:gs pos="100000">
                <a:schemeClr val="accent6"/>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lumMod val="95000"/>
              </a:schemeClr>
            </a:solidFill>
            <a:ln w="25400">
              <a:solidFill>
                <a:schemeClr val="tx1">
                  <a:lumMod val="85000"/>
                  <a:lumOff val="1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Pivots!$C$24</c:f>
              <c:strCache>
                <c:ptCount val="1"/>
                <c:pt idx="0">
                  <c:v>Call Count 2</c:v>
                </c:pt>
              </c:strCache>
            </c:strRef>
          </c:tx>
          <c:spPr>
            <a:gradFill flip="none" rotWithShape="1">
              <a:gsLst>
                <a:gs pos="0">
                  <a:schemeClr val="accent6">
                    <a:lumMod val="40000"/>
                    <a:lumOff val="60000"/>
                  </a:schemeClr>
                </a:gs>
                <a:gs pos="100000">
                  <a:schemeClr val="accent6"/>
                </a:gs>
              </a:gsLst>
              <a:lin ang="16200000" scaled="1"/>
              <a:tileRect/>
            </a:gradFill>
            <a:ln>
              <a:noFill/>
            </a:ln>
            <a:effectLst/>
          </c:spP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Pivots!$C$25:$C$37</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0-E39E-472A-9A75-AFA560BC0E9C}"/>
            </c:ext>
          </c:extLst>
        </c:ser>
        <c:dLbls>
          <c:showLegendKey val="0"/>
          <c:showVal val="0"/>
          <c:showCatName val="0"/>
          <c:showSerName val="0"/>
          <c:showPercent val="0"/>
          <c:showBubbleSize val="0"/>
        </c:dLbls>
        <c:axId val="62961280"/>
        <c:axId val="62961696"/>
      </c:areaChart>
      <c:lineChart>
        <c:grouping val="standard"/>
        <c:varyColors val="0"/>
        <c:ser>
          <c:idx val="0"/>
          <c:order val="0"/>
          <c:tx>
            <c:strRef>
              <c:f>Pivots!$B$24</c:f>
              <c:strCache>
                <c:ptCount val="1"/>
                <c:pt idx="0">
                  <c:v>Call Count </c:v>
                </c:pt>
              </c:strCache>
            </c:strRef>
          </c:tx>
          <c:spPr>
            <a:ln w="28575" cap="rnd">
              <a:solidFill>
                <a:schemeClr val="accent6"/>
              </a:solidFill>
              <a:round/>
            </a:ln>
            <a:effectLst/>
          </c:spPr>
          <c:marker>
            <c:symbol val="circle"/>
            <c:size val="7"/>
            <c:spPr>
              <a:solidFill>
                <a:schemeClr val="bg1">
                  <a:lumMod val="95000"/>
                </a:schemeClr>
              </a:solidFill>
              <a:ln w="25400">
                <a:solidFill>
                  <a:schemeClr val="tx1">
                    <a:lumMod val="85000"/>
                    <a:lumOff val="15000"/>
                  </a:schemeClr>
                </a:solidFill>
              </a:ln>
              <a:effectLst/>
            </c:spPr>
          </c:marke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Pivots!$B$25:$B$37</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1-E39E-472A-9A75-AFA560BC0E9C}"/>
            </c:ext>
          </c:extLst>
        </c:ser>
        <c:dLbls>
          <c:showLegendKey val="0"/>
          <c:showVal val="0"/>
          <c:showCatName val="0"/>
          <c:showSerName val="0"/>
          <c:showPercent val="0"/>
          <c:showBubbleSize val="0"/>
        </c:dLbls>
        <c:marker val="1"/>
        <c:smooth val="0"/>
        <c:axId val="62961280"/>
        <c:axId val="62961696"/>
      </c:lineChart>
      <c:catAx>
        <c:axId val="62961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1696"/>
        <c:crosses val="autoZero"/>
        <c:auto val="1"/>
        <c:lblAlgn val="ctr"/>
        <c:lblOffset val="100"/>
        <c:noMultiLvlLbl val="0"/>
      </c:catAx>
      <c:valAx>
        <c:axId val="629616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1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spc="0" baseline="0">
                <a:solidFill>
                  <a:schemeClr val="accent6"/>
                </a:solidFill>
                <a:latin typeface="+mn-lt"/>
                <a:ea typeface="+mn-ea"/>
                <a:cs typeface="+mn-cs"/>
              </a:defRPr>
            </a:pPr>
            <a:r>
              <a:rPr lang="en-US" sz="1400" b="1" i="0" u="none" strike="noStrike" kern="1200" spc="0" baseline="0">
                <a:solidFill>
                  <a:schemeClr val="accent6"/>
                </a:solidFill>
                <a:latin typeface="+mn-lt"/>
                <a:ea typeface="+mn-ea"/>
                <a:cs typeface="+mn-cs"/>
              </a:rPr>
              <a:t>Calls</a:t>
            </a:r>
          </a:p>
        </c:rich>
      </c:tx>
      <c:layout>
        <c:manualLayout>
          <c:xMode val="edge"/>
          <c:yMode val="edge"/>
          <c:x val="5.6295866293526953E-2"/>
          <c:y val="2.7939464493597205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6"/>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Pivots!$F$48:$F$52</c:f>
              <c:strCache>
                <c:ptCount val="5"/>
                <c:pt idx="0">
                  <c:v>R01</c:v>
                </c:pt>
                <c:pt idx="1">
                  <c:v>R02</c:v>
                </c:pt>
                <c:pt idx="2">
                  <c:v>R03</c:v>
                </c:pt>
                <c:pt idx="3">
                  <c:v>R04</c:v>
                </c:pt>
                <c:pt idx="4">
                  <c:v>R05</c:v>
                </c:pt>
              </c:strCache>
            </c:strRef>
          </c:cat>
          <c:val>
            <c:numRef>
              <c:f>Pivots!$G$48:$G$52</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FD27-4B2B-80FC-79C668170C7F}"/>
            </c:ext>
          </c:extLst>
        </c:ser>
        <c:ser>
          <c:idx val="1"/>
          <c:order val="1"/>
          <c:tx>
            <c:strRef>
              <c:f>Pivots!$I$47</c:f>
              <c:strCache>
                <c:ptCount val="1"/>
                <c:pt idx="0">
                  <c:v>Sel. Calls</c:v>
                </c:pt>
              </c:strCache>
            </c:strRef>
          </c:tx>
          <c:spPr>
            <a:gradFill flip="none" rotWithShape="1">
              <a:gsLst>
                <a:gs pos="0">
                  <a:schemeClr val="accent5">
                    <a:lumMod val="60000"/>
                    <a:lumOff val="40000"/>
                  </a:schemeClr>
                </a:gs>
                <a:gs pos="100000">
                  <a:schemeClr val="accent5"/>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Pivots!$I$48:$I$52</c:f>
              <c:numCache>
                <c:formatCode>General</c:formatCode>
                <c:ptCount val="5"/>
                <c:pt idx="0">
                  <c:v>#N/A</c:v>
                </c:pt>
                <c:pt idx="1">
                  <c:v>#N/A</c:v>
                </c:pt>
                <c:pt idx="2">
                  <c:v>207</c:v>
                </c:pt>
                <c:pt idx="3">
                  <c:v>#N/A</c:v>
                </c:pt>
                <c:pt idx="4">
                  <c:v>#N/A</c:v>
                </c:pt>
              </c:numCache>
            </c:numRef>
          </c:val>
          <c:extLst>
            <c:ext xmlns:c16="http://schemas.microsoft.com/office/drawing/2014/chart" uri="{C3380CC4-5D6E-409C-BE32-E72D297353CC}">
              <c16:uniqueId val="{00000001-FD27-4B2B-80FC-79C668170C7F}"/>
            </c:ext>
          </c:extLst>
        </c:ser>
        <c:dLbls>
          <c:dLblPos val="outEnd"/>
          <c:showLegendKey val="0"/>
          <c:showVal val="1"/>
          <c:showCatName val="0"/>
          <c:showSerName val="0"/>
          <c:showPercent val="0"/>
          <c:showBubbleSize val="0"/>
        </c:dLbls>
        <c:gapWidth val="25"/>
        <c:overlap val="100"/>
        <c:axId val="1790101647"/>
        <c:axId val="1790102479"/>
      </c:barChart>
      <c:catAx>
        <c:axId val="1790101647"/>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102479"/>
        <c:crosses val="autoZero"/>
        <c:auto val="1"/>
        <c:lblAlgn val="ctr"/>
        <c:lblOffset val="100"/>
        <c:noMultiLvlLbl val="0"/>
      </c:catAx>
      <c:valAx>
        <c:axId val="1790102479"/>
        <c:scaling>
          <c:orientation val="minMax"/>
          <c:min val="0"/>
        </c:scaling>
        <c:delete val="1"/>
        <c:axPos val="t"/>
        <c:numFmt formatCode="#,##0" sourceLinked="1"/>
        <c:majorTickMark val="out"/>
        <c:minorTickMark val="none"/>
        <c:tickLblPos val="nextTo"/>
        <c:crossAx val="1790101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spc="0" baseline="0">
                <a:solidFill>
                  <a:schemeClr val="accent6"/>
                </a:solidFill>
                <a:latin typeface="+mn-lt"/>
                <a:ea typeface="+mn-ea"/>
                <a:cs typeface="+mn-cs"/>
              </a:defRPr>
            </a:pPr>
            <a:r>
              <a:rPr lang="en-US" sz="1400" b="1" i="0" u="none" strike="noStrike" kern="1200" spc="0" baseline="0">
                <a:solidFill>
                  <a:schemeClr val="accent6"/>
                </a:solidFill>
                <a:latin typeface="+mn-lt"/>
                <a:ea typeface="+mn-ea"/>
                <a:cs typeface="+mn-cs"/>
              </a:rPr>
              <a:t>Amount</a:t>
            </a:r>
          </a:p>
        </c:rich>
      </c:tx>
      <c:layout>
        <c:manualLayout>
          <c:xMode val="edge"/>
          <c:yMode val="edge"/>
          <c:x val="6.7126660441633193E-2"/>
          <c:y val="2.3282887077997673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6"/>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Pivots!$F$48:$F$52</c:f>
              <c:strCache>
                <c:ptCount val="5"/>
                <c:pt idx="0">
                  <c:v>R01</c:v>
                </c:pt>
                <c:pt idx="1">
                  <c:v>R02</c:v>
                </c:pt>
                <c:pt idx="2">
                  <c:v>R03</c:v>
                </c:pt>
                <c:pt idx="3">
                  <c:v>R04</c:v>
                </c:pt>
                <c:pt idx="4">
                  <c:v>R05</c:v>
                </c:pt>
              </c:strCache>
            </c:strRef>
          </c:cat>
          <c:val>
            <c:numRef>
              <c:f>Pivots!$H$48:$H$52</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9A61-4489-BB59-A9A4B49508BE}"/>
            </c:ext>
          </c:extLst>
        </c:ser>
        <c:ser>
          <c:idx val="1"/>
          <c:order val="1"/>
          <c:tx>
            <c:strRef>
              <c:f>Pivots!$J$47</c:f>
              <c:strCache>
                <c:ptCount val="1"/>
                <c:pt idx="0">
                  <c:v>Sel.Amount</c:v>
                </c:pt>
              </c:strCache>
            </c:strRef>
          </c:tx>
          <c:spPr>
            <a:gradFill>
              <a:gsLst>
                <a:gs pos="0">
                  <a:schemeClr val="accent5">
                    <a:lumMod val="60000"/>
                    <a:lumOff val="40000"/>
                  </a:schemeClr>
                </a:gs>
                <a:gs pos="100000">
                  <a:schemeClr val="accent6"/>
                </a:gs>
              </a:gsLst>
              <a:lin ang="0" scaled="1"/>
            </a:gradFill>
            <a:ln>
              <a:noFill/>
            </a:ln>
            <a:effectLst/>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1-9A61-4489-BB59-A9A4B49508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Pivots!$J$48:$J$52</c:f>
              <c:numCache>
                <c:formatCode>General</c:formatCode>
                <c:ptCount val="5"/>
                <c:pt idx="0">
                  <c:v>#N/A</c:v>
                </c:pt>
                <c:pt idx="1">
                  <c:v>#N/A</c:v>
                </c:pt>
                <c:pt idx="2">
                  <c:v>20872</c:v>
                </c:pt>
                <c:pt idx="3">
                  <c:v>#N/A</c:v>
                </c:pt>
                <c:pt idx="4">
                  <c:v>#N/A</c:v>
                </c:pt>
              </c:numCache>
            </c:numRef>
          </c:val>
          <c:extLst>
            <c:ext xmlns:c16="http://schemas.microsoft.com/office/drawing/2014/chart" uri="{C3380CC4-5D6E-409C-BE32-E72D297353CC}">
              <c16:uniqueId val="{00000002-9A61-4489-BB59-A9A4B49508BE}"/>
            </c:ext>
          </c:extLst>
        </c:ser>
        <c:dLbls>
          <c:dLblPos val="outEnd"/>
          <c:showLegendKey val="0"/>
          <c:showVal val="1"/>
          <c:showCatName val="0"/>
          <c:showSerName val="0"/>
          <c:showPercent val="0"/>
          <c:showBubbleSize val="0"/>
        </c:dLbls>
        <c:gapWidth val="25"/>
        <c:overlap val="100"/>
        <c:axId val="1790101647"/>
        <c:axId val="1790102479"/>
      </c:barChart>
      <c:catAx>
        <c:axId val="1790101647"/>
        <c:scaling>
          <c:orientation val="maxMin"/>
        </c:scaling>
        <c:delete val="1"/>
        <c:axPos val="l"/>
        <c:numFmt formatCode="General" sourceLinked="1"/>
        <c:majorTickMark val="out"/>
        <c:minorTickMark val="none"/>
        <c:tickLblPos val="nextTo"/>
        <c:crossAx val="1790102479"/>
        <c:crosses val="autoZero"/>
        <c:auto val="1"/>
        <c:lblAlgn val="ctr"/>
        <c:lblOffset val="100"/>
        <c:noMultiLvlLbl val="0"/>
      </c:catAx>
      <c:valAx>
        <c:axId val="1790102479"/>
        <c:scaling>
          <c:orientation val="minMax"/>
          <c:min val="0"/>
        </c:scaling>
        <c:delete val="1"/>
        <c:axPos val="t"/>
        <c:numFmt formatCode="&quot;$&quot;#,###.0,&quot;k&quot;" sourceLinked="1"/>
        <c:majorTickMark val="out"/>
        <c:minorTickMark val="none"/>
        <c:tickLblPos val="nextTo"/>
        <c:crossAx val="1790101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[Project.xlsx]Pivots!PivotTable1</c:name>
    <c:fmtId val="3"/>
  </c:pivotSource>
  <c:chart>
    <c:title>
      <c:tx>
        <c:rich>
          <a:bodyPr rot="0" spcFirstLastPara="1" vertOverflow="ellipsis" vert="horz" wrap="square" anchor="ctr" anchorCtr="1"/>
          <a:lstStyle/>
          <a:p>
            <a:pPr algn="ctr" rtl="0">
              <a:defRPr lang="en-US" sz="1400" b="1" i="0" u="none" strike="noStrike" kern="1200" spc="0" baseline="0">
                <a:solidFill>
                  <a:schemeClr val="accent6"/>
                </a:solidFill>
                <a:latin typeface="+mn-lt"/>
                <a:ea typeface="+mn-ea"/>
                <a:cs typeface="+mn-cs"/>
              </a:defRPr>
            </a:pPr>
            <a:r>
              <a:rPr lang="en-US" sz="1400" b="1" i="0" u="none" strike="noStrike" kern="1200" spc="0" baseline="0">
                <a:solidFill>
                  <a:schemeClr val="accent6"/>
                </a:solidFill>
                <a:latin typeface="+mn-lt"/>
                <a:ea typeface="+mn-ea"/>
                <a:cs typeface="+mn-cs"/>
              </a:rPr>
              <a:t>Female </a:t>
            </a:r>
            <a:r>
              <a:rPr lang="en-US" sz="1400" b="1" i="0" u="none" strike="noStrike" kern="1200" spc="0" baseline="0">
                <a:solidFill>
                  <a:schemeClr val="bg1">
                    <a:lumMod val="50000"/>
                  </a:schemeClr>
                </a:solidFill>
                <a:latin typeface="+mn-lt"/>
                <a:ea typeface="+mn-ea"/>
                <a:cs typeface="+mn-cs"/>
              </a:rPr>
              <a:t>vs</a:t>
            </a:r>
            <a:r>
              <a:rPr lang="en-US" sz="1400" b="1" i="0" u="none" strike="noStrike" kern="1200" spc="0" baseline="0">
                <a:solidFill>
                  <a:schemeClr val="bg1">
                    <a:lumMod val="65000"/>
                  </a:schemeClr>
                </a:solidFill>
                <a:latin typeface="+mn-lt"/>
                <a:ea typeface="+mn-ea"/>
                <a:cs typeface="+mn-cs"/>
              </a:rPr>
              <a:t>.</a:t>
            </a:r>
            <a:r>
              <a:rPr lang="en-US" sz="1400" b="1" i="0" u="none" strike="noStrike" kern="1200" spc="0" baseline="0">
                <a:solidFill>
                  <a:schemeClr val="accent6"/>
                </a:solidFill>
                <a:latin typeface="+mn-lt"/>
                <a:ea typeface="+mn-ea"/>
                <a:cs typeface="+mn-cs"/>
              </a:rPr>
              <a:t> Male </a:t>
            </a:r>
            <a:r>
              <a:rPr lang="en-US" sz="1400" b="1" i="0" u="none" strike="noStrike" kern="1200" spc="0" baseline="0">
                <a:solidFill>
                  <a:schemeClr val="bg1">
                    <a:lumMod val="50000"/>
                  </a:schemeClr>
                </a:solidFill>
                <a:latin typeface="+mn-lt"/>
                <a:ea typeface="+mn-ea"/>
                <a:cs typeface="+mn-cs"/>
              </a:rPr>
              <a:t>Callers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6"/>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bg1">
                <a:lumMod val="85000"/>
                <a:alpha val="85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solidFill>
          <a:ln>
            <a:noFill/>
          </a:ln>
          <a:effectLst/>
        </c:spPr>
        <c:marker>
          <c:symbol val="none"/>
        </c:marker>
        <c:dLbl>
          <c:idx val="0"/>
          <c:spPr>
            <a:solidFill>
              <a:schemeClr val="bg1">
                <a:lumMod val="85000"/>
                <a:alpha val="85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Pivots!$C$80:$C$81</c:f>
              <c:strCache>
                <c:ptCount val="1"/>
                <c:pt idx="0">
                  <c:v>Female</c:v>
                </c:pt>
              </c:strCache>
            </c:strRef>
          </c:tx>
          <c:spPr>
            <a:solidFill>
              <a:schemeClr val="accent5"/>
            </a:solidFill>
            <a:ln>
              <a:noFill/>
            </a:ln>
            <a:effectLst/>
          </c:spPr>
          <c:invertIfNegative val="0"/>
          <c:dLbls>
            <c:spPr>
              <a:solidFill>
                <a:schemeClr val="bg1">
                  <a:lumMod val="85000"/>
                  <a:alpha val="85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Pivots!$B$82:$B$85</c:f>
              <c:strCache>
                <c:ptCount val="3"/>
                <c:pt idx="0">
                  <c:v>Cincinnati</c:v>
                </c:pt>
                <c:pt idx="1">
                  <c:v>Cleveland</c:v>
                </c:pt>
                <c:pt idx="2">
                  <c:v>Columbus</c:v>
                </c:pt>
              </c:strCache>
            </c:strRef>
          </c:cat>
          <c:val>
            <c:numRef>
              <c:f>Pivots!$C$82:$C$85</c:f>
              <c:numCache>
                <c:formatCode>#,##0</c:formatCode>
                <c:ptCount val="3"/>
                <c:pt idx="0">
                  <c:v>144</c:v>
                </c:pt>
                <c:pt idx="1">
                  <c:v>326</c:v>
                </c:pt>
                <c:pt idx="2">
                  <c:v>129</c:v>
                </c:pt>
              </c:numCache>
            </c:numRef>
          </c:val>
          <c:extLst>
            <c:ext xmlns:c16="http://schemas.microsoft.com/office/drawing/2014/chart" uri="{C3380CC4-5D6E-409C-BE32-E72D297353CC}">
              <c16:uniqueId val="{00000000-53F0-4F8C-84D0-8048439747A0}"/>
            </c:ext>
          </c:extLst>
        </c:ser>
        <c:ser>
          <c:idx val="1"/>
          <c:order val="1"/>
          <c:tx>
            <c:strRef>
              <c:f>Pivots!$D$80:$D$81</c:f>
              <c:strCache>
                <c:ptCount val="1"/>
                <c:pt idx="0">
                  <c:v>Male</c:v>
                </c:pt>
              </c:strCache>
            </c:strRef>
          </c:tx>
          <c:spPr>
            <a:solidFill>
              <a:schemeClr val="accent4"/>
            </a:solidFill>
            <a:ln>
              <a:noFill/>
            </a:ln>
            <a:effectLst/>
          </c:spPr>
          <c:invertIfNegative val="0"/>
          <c:dLbls>
            <c:spPr>
              <a:solidFill>
                <a:schemeClr val="bg1">
                  <a:lumMod val="85000"/>
                  <a:alpha val="85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Pivots!$B$82:$B$85</c:f>
              <c:strCache>
                <c:ptCount val="3"/>
                <c:pt idx="0">
                  <c:v>Cincinnati</c:v>
                </c:pt>
                <c:pt idx="1">
                  <c:v>Cleveland</c:v>
                </c:pt>
                <c:pt idx="2">
                  <c:v>Columbus</c:v>
                </c:pt>
              </c:strCache>
            </c:strRef>
          </c:cat>
          <c:val>
            <c:numRef>
              <c:f>Pivots!$D$82:$D$85</c:f>
              <c:numCache>
                <c:formatCode>#,##0</c:formatCode>
                <c:ptCount val="3"/>
                <c:pt idx="0">
                  <c:v>132</c:v>
                </c:pt>
                <c:pt idx="1">
                  <c:v>63</c:v>
                </c:pt>
                <c:pt idx="2">
                  <c:v>206</c:v>
                </c:pt>
              </c:numCache>
            </c:numRef>
          </c:val>
          <c:extLst>
            <c:ext xmlns:c16="http://schemas.microsoft.com/office/drawing/2014/chart" uri="{C3380CC4-5D6E-409C-BE32-E72D297353CC}">
              <c16:uniqueId val="{00000001-53F0-4F8C-84D0-8048439747A0}"/>
            </c:ext>
          </c:extLst>
        </c:ser>
        <c:dLbls>
          <c:dLblPos val="ctr"/>
          <c:showLegendKey val="0"/>
          <c:showVal val="1"/>
          <c:showCatName val="0"/>
          <c:showSerName val="0"/>
          <c:showPercent val="0"/>
          <c:showBubbleSize val="0"/>
        </c:dLbls>
        <c:gapWidth val="25"/>
        <c:overlap val="100"/>
        <c:axId val="2108376656"/>
        <c:axId val="2108372912"/>
      </c:barChart>
      <c:catAx>
        <c:axId val="210837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372912"/>
        <c:crosses val="autoZero"/>
        <c:auto val="1"/>
        <c:lblAlgn val="ctr"/>
        <c:lblOffset val="100"/>
        <c:noMultiLvlLbl val="0"/>
      </c:catAx>
      <c:valAx>
        <c:axId val="2108372912"/>
        <c:scaling>
          <c:orientation val="minMax"/>
        </c:scaling>
        <c:delete val="1"/>
        <c:axPos val="l"/>
        <c:numFmt formatCode="0%" sourceLinked="1"/>
        <c:majorTickMark val="none"/>
        <c:minorTickMark val="none"/>
        <c:tickLblPos val="nextTo"/>
        <c:crossAx val="2108376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[Project.xlsx]Pivots!Rep satisfaction</c:name>
    <c:fmtId val="7"/>
  </c:pivotSource>
  <c:chart>
    <c:title>
      <c:tx>
        <c:rich>
          <a:bodyPr rot="0" spcFirstLastPara="1" vertOverflow="ellipsis" vert="horz" wrap="square" anchor="ctr" anchorCtr="1"/>
          <a:lstStyle/>
          <a:p>
            <a:pPr algn="ctr" rtl="0">
              <a:defRPr lang="en-US" sz="1400" b="1" i="0" u="none" strike="noStrike" kern="1200" spc="0" baseline="0">
                <a:solidFill>
                  <a:schemeClr val="accent6"/>
                </a:solidFill>
                <a:latin typeface="+mn-lt"/>
                <a:ea typeface="+mn-ea"/>
                <a:cs typeface="+mn-cs"/>
              </a:defRPr>
            </a:pPr>
            <a:r>
              <a:rPr lang="en-US" sz="1400" b="1" i="0" u="none" strike="noStrike" kern="1200" spc="0" baseline="0">
                <a:solidFill>
                  <a:schemeClr val="accent6"/>
                </a:solidFill>
                <a:latin typeface="+mn-lt"/>
                <a:ea typeface="+mn-ea"/>
                <a:cs typeface="+mn-cs"/>
              </a:rPr>
              <a:t>Rating</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6"/>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60000"/>
                  <a:lumOff val="40000"/>
                </a:schemeClr>
              </a:gs>
              <a:gs pos="100000">
                <a:schemeClr val="accent5"/>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Pivots!$C$90</c:f>
              <c:strCache>
                <c:ptCount val="1"/>
                <c:pt idx="0">
                  <c:v>Total</c:v>
                </c:pt>
              </c:strCache>
            </c:strRef>
          </c:tx>
          <c:spPr>
            <a:gradFill flip="none" rotWithShape="1">
              <a:gsLst>
                <a:gs pos="0">
                  <a:schemeClr val="accent6">
                    <a:lumMod val="60000"/>
                    <a:lumOff val="40000"/>
                  </a:schemeClr>
                </a:gs>
                <a:gs pos="100000">
                  <a:schemeClr val="accent5"/>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Pivots!$B$91:$B$97</c:f>
              <c:strCache>
                <c:ptCount val="6"/>
                <c:pt idx="0">
                  <c:v>0</c:v>
                </c:pt>
                <c:pt idx="1">
                  <c:v>1</c:v>
                </c:pt>
                <c:pt idx="2">
                  <c:v>2</c:v>
                </c:pt>
                <c:pt idx="3">
                  <c:v>3</c:v>
                </c:pt>
                <c:pt idx="4">
                  <c:v>4</c:v>
                </c:pt>
                <c:pt idx="5">
                  <c:v>5</c:v>
                </c:pt>
              </c:strCache>
            </c:strRef>
          </c:cat>
          <c:val>
            <c:numRef>
              <c:f>Pivots!$C$91:$C$97</c:f>
              <c:numCache>
                <c:formatCode>#,##0</c:formatCode>
                <c:ptCount val="6"/>
                <c:pt idx="0">
                  <c:v>1</c:v>
                </c:pt>
                <c:pt idx="1">
                  <c:v>1</c:v>
                </c:pt>
                <c:pt idx="2">
                  <c:v>11</c:v>
                </c:pt>
                <c:pt idx="3">
                  <c:v>46</c:v>
                </c:pt>
                <c:pt idx="4">
                  <c:v>88</c:v>
                </c:pt>
                <c:pt idx="5">
                  <c:v>60</c:v>
                </c:pt>
              </c:numCache>
            </c:numRef>
          </c:val>
          <c:extLst>
            <c:ext xmlns:c16="http://schemas.microsoft.com/office/drawing/2014/chart" uri="{C3380CC4-5D6E-409C-BE32-E72D297353CC}">
              <c16:uniqueId val="{00000000-AEC8-421E-A767-EB360CE9E4A8}"/>
            </c:ext>
          </c:extLst>
        </c:ser>
        <c:dLbls>
          <c:dLblPos val="outEnd"/>
          <c:showLegendKey val="0"/>
          <c:showVal val="1"/>
          <c:showCatName val="0"/>
          <c:showSerName val="0"/>
          <c:showPercent val="0"/>
          <c:showBubbleSize val="0"/>
        </c:dLbls>
        <c:gapWidth val="10"/>
        <c:overlap val="-27"/>
        <c:axId val="2117223728"/>
        <c:axId val="2117224144"/>
      </c:barChart>
      <c:catAx>
        <c:axId val="21172237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224144"/>
        <c:crosses val="autoZero"/>
        <c:auto val="1"/>
        <c:lblAlgn val="ctr"/>
        <c:lblOffset val="100"/>
        <c:noMultiLvlLbl val="0"/>
      </c:catAx>
      <c:valAx>
        <c:axId val="2117224144"/>
        <c:scaling>
          <c:orientation val="minMax"/>
        </c:scaling>
        <c:delete val="1"/>
        <c:axPos val="l"/>
        <c:numFmt formatCode="#,##0" sourceLinked="1"/>
        <c:majorTickMark val="out"/>
        <c:minorTickMark val="none"/>
        <c:tickLblPos val="nextTo"/>
        <c:crossAx val="2117223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3.xml"/><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2.xml"/><Relationship Id="rId2" Type="http://schemas.openxmlformats.org/officeDocument/2006/relationships/image" Target="../media/image1.png"/><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chart" Target="../charts/chart5.xml"/><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639535</xdr:colOff>
      <xdr:row>16</xdr:row>
      <xdr:rowOff>99484</xdr:rowOff>
    </xdr:from>
    <xdr:to>
      <xdr:col>11</xdr:col>
      <xdr:colOff>656167</xdr:colOff>
      <xdr:row>26</xdr:row>
      <xdr:rowOff>21167</xdr:rowOff>
    </xdr:to>
    <mc:AlternateContent xmlns:mc="http://schemas.openxmlformats.org/markup-compatibility/2006" xmlns:a14="http://schemas.microsoft.com/office/drawing/2010/main">
      <mc:Choice Requires="a14">
        <xdr:graphicFrame macro="">
          <xdr:nvGraphicFramePr>
            <xdr:cNvPr id="77" name="Representative 1">
              <a:extLst>
                <a:ext uri="{FF2B5EF4-FFF2-40B4-BE49-F238E27FC236}">
                  <a16:creationId xmlns:a16="http://schemas.microsoft.com/office/drawing/2014/main" id="{04567226-FF11-49C8-B243-E68548A6EF40}"/>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5783035" y="3348567"/>
              <a:ext cx="1392465" cy="17420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602870</xdr:colOff>
      <xdr:row>4</xdr:row>
      <xdr:rowOff>95250</xdr:rowOff>
    </xdr:from>
    <xdr:to>
      <xdr:col>11</xdr:col>
      <xdr:colOff>642560</xdr:colOff>
      <xdr:row>12</xdr:row>
      <xdr:rowOff>27214</xdr:rowOff>
    </xdr:to>
    <xdr:graphicFrame macro="">
      <xdr:nvGraphicFramePr>
        <xdr:cNvPr id="79" name="Chart 78">
          <a:extLst>
            <a:ext uri="{FF2B5EF4-FFF2-40B4-BE49-F238E27FC236}">
              <a16:creationId xmlns:a16="http://schemas.microsoft.com/office/drawing/2014/main" id="{1ABA29E2-26BE-4EB7-90E0-A50647DC2E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58318</xdr:colOff>
      <xdr:row>2</xdr:row>
      <xdr:rowOff>97194</xdr:rowOff>
    </xdr:from>
    <xdr:to>
      <xdr:col>3</xdr:col>
      <xdr:colOff>391693</xdr:colOff>
      <xdr:row>6</xdr:row>
      <xdr:rowOff>152594</xdr:rowOff>
    </xdr:to>
    <xdr:grpSp>
      <xdr:nvGrpSpPr>
        <xdr:cNvPr id="11" name="Group 10">
          <a:extLst>
            <a:ext uri="{FF2B5EF4-FFF2-40B4-BE49-F238E27FC236}">
              <a16:creationId xmlns:a16="http://schemas.microsoft.com/office/drawing/2014/main" id="{50FA082A-924C-4A89-8033-13AC3310A0EB}"/>
            </a:ext>
          </a:extLst>
        </xdr:cNvPr>
        <xdr:cNvGrpSpPr/>
      </xdr:nvGrpSpPr>
      <xdr:grpSpPr>
        <a:xfrm>
          <a:off x="217068" y="816861"/>
          <a:ext cx="1190625" cy="775066"/>
          <a:chOff x="217068" y="816861"/>
          <a:chExt cx="1190625" cy="775066"/>
        </a:xfrm>
      </xdr:grpSpPr>
      <xdr:sp macro="" textlink="Pivots!A4">
        <xdr:nvSpPr>
          <xdr:cNvPr id="2" name="Rectangle 1">
            <a:extLst>
              <a:ext uri="{FF2B5EF4-FFF2-40B4-BE49-F238E27FC236}">
                <a16:creationId xmlns:a16="http://schemas.microsoft.com/office/drawing/2014/main" id="{393A7FAF-BA18-45ED-8D66-3C5258FD41C2}"/>
              </a:ext>
            </a:extLst>
          </xdr:cNvPr>
          <xdr:cNvSpPr/>
        </xdr:nvSpPr>
        <xdr:spPr>
          <a:xfrm>
            <a:off x="217068" y="816861"/>
            <a:ext cx="1190625" cy="775066"/>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34B39D9-E921-44A8-8220-AE128E57479D}" type="TxLink">
              <a:rPr lang="en-US" sz="2400" b="1" i="0" u="none" strike="noStrike">
                <a:solidFill>
                  <a:schemeClr val="bg1"/>
                </a:solidFill>
                <a:latin typeface="+mn-lt"/>
              </a:rPr>
              <a:pPr algn="ctr"/>
              <a:t>1,000</a:t>
            </a:fld>
            <a:endParaRPr lang="en-US" sz="2400" b="1">
              <a:solidFill>
                <a:schemeClr val="bg1"/>
              </a:solidFill>
              <a:latin typeface="+mn-lt"/>
            </a:endParaRPr>
          </a:p>
        </xdr:txBody>
      </xdr:sp>
      <xdr:sp macro="" textlink="">
        <xdr:nvSpPr>
          <xdr:cNvPr id="4" name="TextBox 3">
            <a:extLst>
              <a:ext uri="{FF2B5EF4-FFF2-40B4-BE49-F238E27FC236}">
                <a16:creationId xmlns:a16="http://schemas.microsoft.com/office/drawing/2014/main" id="{EFE66453-54DE-488B-80D2-77CD73F1BB72}"/>
              </a:ext>
            </a:extLst>
          </xdr:cNvPr>
          <xdr:cNvSpPr txBox="1"/>
        </xdr:nvSpPr>
        <xdr:spPr>
          <a:xfrm>
            <a:off x="373975" y="828828"/>
            <a:ext cx="879956" cy="1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latin typeface="+mn-lt"/>
              </a:rPr>
              <a:t>Calls</a:t>
            </a:r>
          </a:p>
        </xdr:txBody>
      </xdr:sp>
      <xdr:pic>
        <xdr:nvPicPr>
          <xdr:cNvPr id="5" name="Graphic 4" descr="Receiver with solid fill">
            <a:extLst>
              <a:ext uri="{FF2B5EF4-FFF2-40B4-BE49-F238E27FC236}">
                <a16:creationId xmlns:a16="http://schemas.microsoft.com/office/drawing/2014/main" id="{064C024A-2B3B-4704-A660-27D6E89D66D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17068" y="836344"/>
            <a:ext cx="189462" cy="169712"/>
          </a:xfrm>
          <a:prstGeom prst="rect">
            <a:avLst/>
          </a:prstGeom>
        </xdr:spPr>
      </xdr:pic>
      <xdr:sp macro="" textlink="Pivots!A10">
        <xdr:nvSpPr>
          <xdr:cNvPr id="6" name="TextBox 5">
            <a:extLst>
              <a:ext uri="{FF2B5EF4-FFF2-40B4-BE49-F238E27FC236}">
                <a16:creationId xmlns:a16="http://schemas.microsoft.com/office/drawing/2014/main" id="{EE86045E-3D3F-4650-A78E-D01DB7E223C4}"/>
              </a:ext>
            </a:extLst>
          </xdr:cNvPr>
          <xdr:cNvSpPr txBox="1"/>
        </xdr:nvSpPr>
        <xdr:spPr>
          <a:xfrm>
            <a:off x="375144" y="1383787"/>
            <a:ext cx="836606" cy="203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86288A-E1BE-4933-AAEC-D42487F35275}" type="TxLink">
              <a:rPr lang="en-US" sz="1100" b="1" i="0" u="none" strike="noStrike">
                <a:solidFill>
                  <a:schemeClr val="accent6">
                    <a:lumMod val="20000"/>
                    <a:lumOff val="80000"/>
                  </a:schemeClr>
                </a:solidFill>
                <a:latin typeface="Aptos"/>
              </a:rPr>
              <a:pPr algn="ctr"/>
              <a:t>207</a:t>
            </a:fld>
            <a:endParaRPr lang="en-US" sz="1100" b="1">
              <a:solidFill>
                <a:schemeClr val="accent6">
                  <a:lumMod val="20000"/>
                  <a:lumOff val="80000"/>
                </a:schemeClr>
              </a:solidFill>
            </a:endParaRPr>
          </a:p>
        </xdr:txBody>
      </xdr:sp>
    </xdr:grpSp>
    <xdr:clientData/>
  </xdr:twoCellAnchor>
  <xdr:twoCellAnchor>
    <xdr:from>
      <xdr:col>1</xdr:col>
      <xdr:colOff>58318</xdr:colOff>
      <xdr:row>28</xdr:row>
      <xdr:rowOff>119152</xdr:rowOff>
    </xdr:from>
    <xdr:to>
      <xdr:col>3</xdr:col>
      <xdr:colOff>396456</xdr:colOff>
      <xdr:row>32</xdr:row>
      <xdr:rowOff>172171</xdr:rowOff>
    </xdr:to>
    <xdr:grpSp>
      <xdr:nvGrpSpPr>
        <xdr:cNvPr id="7" name="Group 6">
          <a:extLst>
            <a:ext uri="{FF2B5EF4-FFF2-40B4-BE49-F238E27FC236}">
              <a16:creationId xmlns:a16="http://schemas.microsoft.com/office/drawing/2014/main" id="{91F1A5A5-3C8D-47DB-8040-31B66F9D1DB7}"/>
            </a:ext>
          </a:extLst>
        </xdr:cNvPr>
        <xdr:cNvGrpSpPr/>
      </xdr:nvGrpSpPr>
      <xdr:grpSpPr>
        <a:xfrm>
          <a:off x="217068" y="5558985"/>
          <a:ext cx="1195388" cy="793853"/>
          <a:chOff x="217068" y="5315571"/>
          <a:chExt cx="1195388" cy="783269"/>
        </a:xfrm>
      </xdr:grpSpPr>
      <xdr:sp macro="" textlink="Pivots!E4">
        <xdr:nvSpPr>
          <xdr:cNvPr id="58" name="Rectangle 57">
            <a:extLst>
              <a:ext uri="{FF2B5EF4-FFF2-40B4-BE49-F238E27FC236}">
                <a16:creationId xmlns:a16="http://schemas.microsoft.com/office/drawing/2014/main" id="{DDB0AF71-A6C3-427F-A0BA-F133349427C3}"/>
              </a:ext>
            </a:extLst>
          </xdr:cNvPr>
          <xdr:cNvSpPr/>
        </xdr:nvSpPr>
        <xdr:spPr>
          <a:xfrm>
            <a:off x="217068" y="5315571"/>
            <a:ext cx="1195388" cy="783269"/>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5136D8D-A170-474F-90AA-D000B9E0B322}" type="TxLink">
              <a:rPr lang="en-US" sz="2400" b="0" i="0" u="none" strike="noStrike">
                <a:solidFill>
                  <a:schemeClr val="bg1"/>
                </a:solidFill>
                <a:latin typeface="Aptos"/>
              </a:rPr>
              <a:pPr algn="ctr"/>
              <a:t>307</a:t>
            </a:fld>
            <a:endParaRPr lang="en-US" sz="2400" b="1">
              <a:solidFill>
                <a:schemeClr val="bg1"/>
              </a:solidFill>
              <a:latin typeface="+mn-lt"/>
            </a:endParaRPr>
          </a:p>
        </xdr:txBody>
      </xdr:sp>
      <xdr:sp macro="" textlink="">
        <xdr:nvSpPr>
          <xdr:cNvPr id="59" name="TextBox 58">
            <a:extLst>
              <a:ext uri="{FF2B5EF4-FFF2-40B4-BE49-F238E27FC236}">
                <a16:creationId xmlns:a16="http://schemas.microsoft.com/office/drawing/2014/main" id="{92580DF2-E759-47CE-899B-FFE0DF1CE5FE}"/>
              </a:ext>
            </a:extLst>
          </xdr:cNvPr>
          <xdr:cNvSpPr txBox="1"/>
        </xdr:nvSpPr>
        <xdr:spPr>
          <a:xfrm>
            <a:off x="236681" y="5318529"/>
            <a:ext cx="1168977" cy="16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latin typeface="+mn-lt"/>
              </a:rPr>
              <a:t>Happy</a:t>
            </a:r>
            <a:r>
              <a:rPr lang="en-US" sz="1100" b="1" baseline="0">
                <a:solidFill>
                  <a:schemeClr val="bg1"/>
                </a:solidFill>
                <a:latin typeface="+mn-lt"/>
              </a:rPr>
              <a:t> Callers</a:t>
            </a:r>
            <a:endParaRPr lang="en-US" sz="1100" b="1">
              <a:solidFill>
                <a:schemeClr val="bg1"/>
              </a:solidFill>
              <a:latin typeface="+mn-lt"/>
            </a:endParaRPr>
          </a:p>
        </xdr:txBody>
      </xdr:sp>
      <xdr:pic>
        <xdr:nvPicPr>
          <xdr:cNvPr id="60" name="Graphic 59">
            <a:extLst>
              <a:ext uri="{FF2B5EF4-FFF2-40B4-BE49-F238E27FC236}">
                <a16:creationId xmlns:a16="http://schemas.microsoft.com/office/drawing/2014/main" id="{41C05165-1A08-4B0E-A6B4-DFB46D28D80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a:stretch/>
        </xdr:blipFill>
        <xdr:spPr>
          <a:xfrm>
            <a:off x="228552" y="5334502"/>
            <a:ext cx="163555" cy="169800"/>
          </a:xfrm>
          <a:prstGeom prst="rect">
            <a:avLst/>
          </a:prstGeom>
        </xdr:spPr>
      </xdr:pic>
      <xdr:sp macro="" textlink="Pivots!E10">
        <xdr:nvSpPr>
          <xdr:cNvPr id="61" name="TextBox 60">
            <a:extLst>
              <a:ext uri="{FF2B5EF4-FFF2-40B4-BE49-F238E27FC236}">
                <a16:creationId xmlns:a16="http://schemas.microsoft.com/office/drawing/2014/main" id="{D8B2ED62-D4BD-42CB-BB77-4583DF1F7D7A}"/>
              </a:ext>
            </a:extLst>
          </xdr:cNvPr>
          <xdr:cNvSpPr txBox="1"/>
        </xdr:nvSpPr>
        <xdr:spPr>
          <a:xfrm>
            <a:off x="372081" y="5891703"/>
            <a:ext cx="843648" cy="203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BF168B-7C6F-4B1E-A1E9-A2AE54183661}" type="TxLink">
              <a:rPr lang="en-US" sz="1100" b="0" i="0" u="none" strike="noStrike">
                <a:solidFill>
                  <a:schemeClr val="bg1"/>
                </a:solidFill>
                <a:latin typeface="Aptos"/>
              </a:rPr>
              <a:pPr algn="ctr"/>
              <a:t>60</a:t>
            </a:fld>
            <a:endParaRPr lang="en-US" sz="1100" b="1">
              <a:solidFill>
                <a:schemeClr val="bg1"/>
              </a:solidFill>
            </a:endParaRPr>
          </a:p>
        </xdr:txBody>
      </xdr:sp>
    </xdr:grpSp>
    <xdr:clientData/>
  </xdr:twoCellAnchor>
  <xdr:twoCellAnchor>
    <xdr:from>
      <xdr:col>1</xdr:col>
      <xdr:colOff>58318</xdr:colOff>
      <xdr:row>9</xdr:row>
      <xdr:rowOff>12659</xdr:rowOff>
    </xdr:from>
    <xdr:to>
      <xdr:col>3</xdr:col>
      <xdr:colOff>396456</xdr:colOff>
      <xdr:row>13</xdr:row>
      <xdr:rowOff>69381</xdr:rowOff>
    </xdr:to>
    <xdr:grpSp>
      <xdr:nvGrpSpPr>
        <xdr:cNvPr id="10" name="Group 9">
          <a:extLst>
            <a:ext uri="{FF2B5EF4-FFF2-40B4-BE49-F238E27FC236}">
              <a16:creationId xmlns:a16="http://schemas.microsoft.com/office/drawing/2014/main" id="{3A520013-DE5D-4231-AA43-882DCAE3C1D5}"/>
            </a:ext>
          </a:extLst>
        </xdr:cNvPr>
        <xdr:cNvGrpSpPr/>
      </xdr:nvGrpSpPr>
      <xdr:grpSpPr>
        <a:xfrm>
          <a:off x="217068" y="1991742"/>
          <a:ext cx="1195388" cy="776389"/>
          <a:chOff x="217068" y="1933866"/>
          <a:chExt cx="1195388" cy="776389"/>
        </a:xfrm>
      </xdr:grpSpPr>
      <xdr:sp macro="" textlink="Pivots!B4">
        <xdr:nvSpPr>
          <xdr:cNvPr id="63" name="Rectangle 62">
            <a:extLst>
              <a:ext uri="{FF2B5EF4-FFF2-40B4-BE49-F238E27FC236}">
                <a16:creationId xmlns:a16="http://schemas.microsoft.com/office/drawing/2014/main" id="{6544081D-5FBF-453A-A1A6-0CF12BC8E23F}"/>
              </a:ext>
            </a:extLst>
          </xdr:cNvPr>
          <xdr:cNvSpPr/>
        </xdr:nvSpPr>
        <xdr:spPr>
          <a:xfrm>
            <a:off x="217068" y="1933866"/>
            <a:ext cx="1195388" cy="776389"/>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E5CB48F-09D3-452E-A01B-80C6D3EA863F}" type="TxLink">
              <a:rPr lang="en-US" sz="2400" b="1" i="0" u="none" strike="noStrike">
                <a:solidFill>
                  <a:schemeClr val="bg1"/>
                </a:solidFill>
                <a:latin typeface="Aptos"/>
              </a:rPr>
              <a:pPr algn="ctr"/>
              <a:t>$96,623</a:t>
            </a:fld>
            <a:endParaRPr lang="en-US" sz="2400" b="1">
              <a:solidFill>
                <a:schemeClr val="bg1"/>
              </a:solidFill>
              <a:latin typeface="+mn-lt"/>
            </a:endParaRPr>
          </a:p>
        </xdr:txBody>
      </xdr:sp>
      <xdr:sp macro="" textlink="">
        <xdr:nvSpPr>
          <xdr:cNvPr id="64" name="TextBox 63">
            <a:extLst>
              <a:ext uri="{FF2B5EF4-FFF2-40B4-BE49-F238E27FC236}">
                <a16:creationId xmlns:a16="http://schemas.microsoft.com/office/drawing/2014/main" id="{40E4FF09-5951-4A21-AF82-AF12A517C03C}"/>
              </a:ext>
            </a:extLst>
          </xdr:cNvPr>
          <xdr:cNvSpPr txBox="1"/>
        </xdr:nvSpPr>
        <xdr:spPr>
          <a:xfrm>
            <a:off x="370907" y="1945504"/>
            <a:ext cx="887172" cy="184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latin typeface="+mn-lt"/>
              </a:rPr>
              <a:t>Amount</a:t>
            </a:r>
          </a:p>
        </xdr:txBody>
      </xdr:sp>
      <xdr:pic>
        <xdr:nvPicPr>
          <xdr:cNvPr id="65" name="Graphic 64">
            <a:extLst>
              <a:ext uri="{FF2B5EF4-FFF2-40B4-BE49-F238E27FC236}">
                <a16:creationId xmlns:a16="http://schemas.microsoft.com/office/drawing/2014/main" id="{DC8990F7-A4C0-49A6-B986-C3E2C19DE4D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a:stretch/>
        </xdr:blipFill>
        <xdr:spPr>
          <a:xfrm>
            <a:off x="227935" y="1952814"/>
            <a:ext cx="164790" cy="169948"/>
          </a:xfrm>
          <a:prstGeom prst="rect">
            <a:avLst/>
          </a:prstGeom>
          <a:effectLst>
            <a:outerShdw blurRad="254000" dist="127000" dir="2700000" algn="tl" rotWithShape="0">
              <a:prstClr val="black">
                <a:alpha val="50000"/>
              </a:prstClr>
            </a:outerShdw>
          </a:effectLst>
        </xdr:spPr>
      </xdr:pic>
      <xdr:sp macro="" textlink="Pivots!B10">
        <xdr:nvSpPr>
          <xdr:cNvPr id="66" name="TextBox 65">
            <a:extLst>
              <a:ext uri="{FF2B5EF4-FFF2-40B4-BE49-F238E27FC236}">
                <a16:creationId xmlns:a16="http://schemas.microsoft.com/office/drawing/2014/main" id="{CDEA853A-C03D-4E93-9ECE-02C41FC42878}"/>
              </a:ext>
            </a:extLst>
          </xdr:cNvPr>
          <xdr:cNvSpPr txBox="1"/>
        </xdr:nvSpPr>
        <xdr:spPr>
          <a:xfrm>
            <a:off x="372081" y="2499912"/>
            <a:ext cx="843648" cy="206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1C19A1-7866-4D1F-A9F5-032430A0A19A}" type="TxLink">
              <a:rPr lang="en-US" sz="1100" b="0" i="0" u="none" strike="noStrike">
                <a:solidFill>
                  <a:schemeClr val="bg1"/>
                </a:solidFill>
                <a:latin typeface="Aptos"/>
              </a:rPr>
              <a:pPr algn="ctr"/>
              <a:t>$20,872</a:t>
            </a:fld>
            <a:endParaRPr lang="en-US" sz="1100" b="1">
              <a:solidFill>
                <a:schemeClr val="bg1"/>
              </a:solidFill>
            </a:endParaRPr>
          </a:p>
        </xdr:txBody>
      </xdr:sp>
    </xdr:grpSp>
    <xdr:clientData/>
  </xdr:twoCellAnchor>
  <xdr:twoCellAnchor>
    <xdr:from>
      <xdr:col>1</xdr:col>
      <xdr:colOff>58318</xdr:colOff>
      <xdr:row>15</xdr:row>
      <xdr:rowOff>109363</xdr:rowOff>
    </xdr:from>
    <xdr:to>
      <xdr:col>3</xdr:col>
      <xdr:colOff>396456</xdr:colOff>
      <xdr:row>19</xdr:row>
      <xdr:rowOff>163705</xdr:rowOff>
    </xdr:to>
    <xdr:grpSp>
      <xdr:nvGrpSpPr>
        <xdr:cNvPr id="9" name="Group 8">
          <a:extLst>
            <a:ext uri="{FF2B5EF4-FFF2-40B4-BE49-F238E27FC236}">
              <a16:creationId xmlns:a16="http://schemas.microsoft.com/office/drawing/2014/main" id="{5AC8F893-C26E-4AA2-9C2C-5A64DB288E40}"/>
            </a:ext>
          </a:extLst>
        </xdr:cNvPr>
        <xdr:cNvGrpSpPr/>
      </xdr:nvGrpSpPr>
      <xdr:grpSpPr>
        <a:xfrm>
          <a:off x="217068" y="3167946"/>
          <a:ext cx="1195388" cy="795176"/>
          <a:chOff x="217068" y="3050870"/>
          <a:chExt cx="1195388" cy="795176"/>
        </a:xfrm>
      </xdr:grpSpPr>
      <xdr:sp macro="" textlink="Pivots!C4">
        <xdr:nvSpPr>
          <xdr:cNvPr id="68" name="Rectangle 67">
            <a:extLst>
              <a:ext uri="{FF2B5EF4-FFF2-40B4-BE49-F238E27FC236}">
                <a16:creationId xmlns:a16="http://schemas.microsoft.com/office/drawing/2014/main" id="{03696978-A314-4B73-AAC7-512AB61C4993}"/>
              </a:ext>
            </a:extLst>
          </xdr:cNvPr>
          <xdr:cNvSpPr/>
        </xdr:nvSpPr>
        <xdr:spPr>
          <a:xfrm>
            <a:off x="217068" y="3050870"/>
            <a:ext cx="1195388" cy="795176"/>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8F023C6-66B1-4259-AF6E-D7D1E5A1F444}" type="TxLink">
              <a:rPr lang="en-US" sz="2400" b="0" i="0" u="none" strike="noStrike">
                <a:solidFill>
                  <a:schemeClr val="bg1"/>
                </a:solidFill>
                <a:latin typeface="Aptos"/>
              </a:rPr>
              <a:pPr algn="ctr"/>
              <a:t>89,850</a:t>
            </a:fld>
            <a:endParaRPr lang="en-US" sz="2400" b="1">
              <a:solidFill>
                <a:schemeClr val="bg1"/>
              </a:solidFill>
              <a:latin typeface="+mn-lt"/>
            </a:endParaRPr>
          </a:p>
        </xdr:txBody>
      </xdr:sp>
      <xdr:sp macro="" textlink="">
        <xdr:nvSpPr>
          <xdr:cNvPr id="69" name="TextBox 68">
            <a:extLst>
              <a:ext uri="{FF2B5EF4-FFF2-40B4-BE49-F238E27FC236}">
                <a16:creationId xmlns:a16="http://schemas.microsoft.com/office/drawing/2014/main" id="{3FBB130F-D368-45ED-9FAD-59C737276439}"/>
              </a:ext>
            </a:extLst>
          </xdr:cNvPr>
          <xdr:cNvSpPr txBox="1"/>
        </xdr:nvSpPr>
        <xdr:spPr>
          <a:xfrm>
            <a:off x="370907" y="3065495"/>
            <a:ext cx="887172" cy="194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latin typeface="+mn-lt"/>
              </a:rPr>
              <a:t>Duration</a:t>
            </a:r>
          </a:p>
        </xdr:txBody>
      </xdr:sp>
      <xdr:pic>
        <xdr:nvPicPr>
          <xdr:cNvPr id="70" name="Graphic 69">
            <a:extLst>
              <a:ext uri="{FF2B5EF4-FFF2-40B4-BE49-F238E27FC236}">
                <a16:creationId xmlns:a16="http://schemas.microsoft.com/office/drawing/2014/main" id="{558D8639-065F-4E83-BC9F-77DC22CFB43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rcRect/>
          <a:stretch/>
        </xdr:blipFill>
        <xdr:spPr>
          <a:xfrm>
            <a:off x="228196" y="3072782"/>
            <a:ext cx="164267" cy="180010"/>
          </a:xfrm>
          <a:prstGeom prst="rect">
            <a:avLst/>
          </a:prstGeom>
        </xdr:spPr>
      </xdr:pic>
      <xdr:sp macro="" textlink="Pivots!C10">
        <xdr:nvSpPr>
          <xdr:cNvPr id="71" name="TextBox 70">
            <a:extLst>
              <a:ext uri="{FF2B5EF4-FFF2-40B4-BE49-F238E27FC236}">
                <a16:creationId xmlns:a16="http://schemas.microsoft.com/office/drawing/2014/main" id="{0FAED95D-8E87-4B61-B798-50D192F72F8A}"/>
              </a:ext>
            </a:extLst>
          </xdr:cNvPr>
          <xdr:cNvSpPr txBox="1"/>
        </xdr:nvSpPr>
        <xdr:spPr>
          <a:xfrm>
            <a:off x="372081" y="3639364"/>
            <a:ext cx="843648" cy="202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8D784F-005D-420C-A8B1-33974B669B25}" type="TxLink">
              <a:rPr lang="en-US" sz="1100" b="0" i="0" u="none" strike="noStrike">
                <a:solidFill>
                  <a:schemeClr val="bg1"/>
                </a:solidFill>
                <a:latin typeface="Aptos"/>
              </a:rPr>
              <a:pPr algn="ctr"/>
              <a:t>17,700</a:t>
            </a:fld>
            <a:endParaRPr lang="en-US" sz="1100" b="1">
              <a:solidFill>
                <a:schemeClr val="bg1"/>
              </a:solidFill>
            </a:endParaRPr>
          </a:p>
        </xdr:txBody>
      </xdr:sp>
    </xdr:grpSp>
    <xdr:clientData/>
  </xdr:twoCellAnchor>
  <xdr:twoCellAnchor>
    <xdr:from>
      <xdr:col>1</xdr:col>
      <xdr:colOff>58318</xdr:colOff>
      <xdr:row>22</xdr:row>
      <xdr:rowOff>13187</xdr:rowOff>
    </xdr:from>
    <xdr:to>
      <xdr:col>3</xdr:col>
      <xdr:colOff>396456</xdr:colOff>
      <xdr:row>26</xdr:row>
      <xdr:rowOff>79170</xdr:rowOff>
    </xdr:to>
    <xdr:grpSp>
      <xdr:nvGrpSpPr>
        <xdr:cNvPr id="8" name="Group 7">
          <a:extLst>
            <a:ext uri="{FF2B5EF4-FFF2-40B4-BE49-F238E27FC236}">
              <a16:creationId xmlns:a16="http://schemas.microsoft.com/office/drawing/2014/main" id="{054B99E1-CB21-40D6-8FB8-75F1D7DAA111}"/>
            </a:ext>
          </a:extLst>
        </xdr:cNvPr>
        <xdr:cNvGrpSpPr/>
      </xdr:nvGrpSpPr>
      <xdr:grpSpPr>
        <a:xfrm>
          <a:off x="217068" y="4362937"/>
          <a:ext cx="1195388" cy="785650"/>
          <a:chOff x="217068" y="4187983"/>
          <a:chExt cx="1195388" cy="785650"/>
        </a:xfrm>
      </xdr:grpSpPr>
      <xdr:sp macro="" textlink="Pivots!D4">
        <xdr:nvSpPr>
          <xdr:cNvPr id="73" name="Rectangle 72">
            <a:extLst>
              <a:ext uri="{FF2B5EF4-FFF2-40B4-BE49-F238E27FC236}">
                <a16:creationId xmlns:a16="http://schemas.microsoft.com/office/drawing/2014/main" id="{E45A0039-F59B-4CDA-80A6-A6885124E841}"/>
              </a:ext>
            </a:extLst>
          </xdr:cNvPr>
          <xdr:cNvSpPr/>
        </xdr:nvSpPr>
        <xdr:spPr>
          <a:xfrm>
            <a:off x="217068" y="4187983"/>
            <a:ext cx="1195388" cy="78565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4028B6E-7F0F-4DFC-B297-97515DEB128A}" type="TxLink">
              <a:rPr lang="en-US" sz="2400" b="0" i="0" u="none" strike="noStrike">
                <a:solidFill>
                  <a:schemeClr val="bg1"/>
                </a:solidFill>
                <a:latin typeface="Aptos"/>
              </a:rPr>
              <a:pPr algn="ctr"/>
              <a:t>3.9</a:t>
            </a:fld>
            <a:endParaRPr lang="en-US" sz="2400" b="1">
              <a:solidFill>
                <a:schemeClr val="bg1"/>
              </a:solidFill>
              <a:latin typeface="+mn-lt"/>
            </a:endParaRPr>
          </a:p>
        </xdr:txBody>
      </xdr:sp>
      <xdr:sp macro="" textlink="">
        <xdr:nvSpPr>
          <xdr:cNvPr id="74" name="TextBox 73">
            <a:extLst>
              <a:ext uri="{FF2B5EF4-FFF2-40B4-BE49-F238E27FC236}">
                <a16:creationId xmlns:a16="http://schemas.microsoft.com/office/drawing/2014/main" id="{0E1A2AC0-B1FA-4915-A3D6-AE28FCA6241C}"/>
              </a:ext>
            </a:extLst>
          </xdr:cNvPr>
          <xdr:cNvSpPr txBox="1"/>
        </xdr:nvSpPr>
        <xdr:spPr>
          <a:xfrm>
            <a:off x="370907" y="4199647"/>
            <a:ext cx="887172" cy="195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latin typeface="+mn-lt"/>
              </a:rPr>
              <a:t>Avg.</a:t>
            </a:r>
            <a:r>
              <a:rPr lang="en-US" sz="1100" b="1" baseline="0">
                <a:solidFill>
                  <a:schemeClr val="bg1"/>
                </a:solidFill>
                <a:latin typeface="+mn-lt"/>
              </a:rPr>
              <a:t> Rating</a:t>
            </a:r>
            <a:endParaRPr lang="en-US" sz="1100" b="1">
              <a:solidFill>
                <a:schemeClr val="bg1"/>
              </a:solidFill>
              <a:latin typeface="+mn-lt"/>
            </a:endParaRPr>
          </a:p>
        </xdr:txBody>
      </xdr:sp>
      <xdr:pic>
        <xdr:nvPicPr>
          <xdr:cNvPr id="75" name="Graphic 74">
            <a:extLst>
              <a:ext uri="{FF2B5EF4-FFF2-40B4-BE49-F238E27FC236}">
                <a16:creationId xmlns:a16="http://schemas.microsoft.com/office/drawing/2014/main" id="{475A96D4-2CCE-45D1-AD01-AF2FDA9D7FFD}"/>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rcRect/>
          <a:stretch/>
        </xdr:blipFill>
        <xdr:spPr>
          <a:xfrm>
            <a:off x="228291" y="4206974"/>
            <a:ext cx="164078" cy="180905"/>
          </a:xfrm>
          <a:prstGeom prst="rect">
            <a:avLst/>
          </a:prstGeom>
        </xdr:spPr>
      </xdr:pic>
      <xdr:sp macro="" textlink="Pivots!D10">
        <xdr:nvSpPr>
          <xdr:cNvPr id="76" name="TextBox 75">
            <a:extLst>
              <a:ext uri="{FF2B5EF4-FFF2-40B4-BE49-F238E27FC236}">
                <a16:creationId xmlns:a16="http://schemas.microsoft.com/office/drawing/2014/main" id="{65C97135-AF48-4E22-9692-B2834C4464B0}"/>
              </a:ext>
            </a:extLst>
          </xdr:cNvPr>
          <xdr:cNvSpPr txBox="1"/>
        </xdr:nvSpPr>
        <xdr:spPr>
          <a:xfrm>
            <a:off x="372081" y="4765855"/>
            <a:ext cx="843648" cy="203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4DB796-D091-4B85-B061-157E203F8C3C}" type="TxLink">
              <a:rPr lang="en-US" sz="1100" b="0" i="0" u="none" strike="noStrike">
                <a:solidFill>
                  <a:schemeClr val="bg1"/>
                </a:solidFill>
                <a:latin typeface="Aptos"/>
              </a:rPr>
              <a:pPr algn="ctr"/>
              <a:t>3.9</a:t>
            </a:fld>
            <a:endParaRPr lang="en-US" sz="1100" b="1">
              <a:solidFill>
                <a:schemeClr val="bg1"/>
              </a:solidFill>
            </a:endParaRPr>
          </a:p>
        </xdr:txBody>
      </xdr:sp>
    </xdr:grpSp>
    <xdr:clientData/>
  </xdr:twoCellAnchor>
  <xdr:twoCellAnchor>
    <xdr:from>
      <xdr:col>3</xdr:col>
      <xdr:colOff>595844</xdr:colOff>
      <xdr:row>2</xdr:row>
      <xdr:rowOff>97193</xdr:rowOff>
    </xdr:from>
    <xdr:to>
      <xdr:col>9</xdr:col>
      <xdr:colOff>550333</xdr:colOff>
      <xdr:row>13</xdr:row>
      <xdr:rowOff>63499</xdr:rowOff>
    </xdr:to>
    <xdr:graphicFrame macro="">
      <xdr:nvGraphicFramePr>
        <xdr:cNvPr id="78" name="Chart 77">
          <a:extLst>
            <a:ext uri="{FF2B5EF4-FFF2-40B4-BE49-F238E27FC236}">
              <a16:creationId xmlns:a16="http://schemas.microsoft.com/office/drawing/2014/main" id="{88AF1BE0-599B-4CC9-9168-AAE25EA014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595844</xdr:colOff>
      <xdr:row>14</xdr:row>
      <xdr:rowOff>178592</xdr:rowOff>
    </xdr:from>
    <xdr:to>
      <xdr:col>6</xdr:col>
      <xdr:colOff>609600</xdr:colOff>
      <xdr:row>32</xdr:row>
      <xdr:rowOff>165726</xdr:rowOff>
    </xdr:to>
    <xdr:graphicFrame macro="">
      <xdr:nvGraphicFramePr>
        <xdr:cNvPr id="25" name="Chart 24">
          <a:extLst>
            <a:ext uri="{FF2B5EF4-FFF2-40B4-BE49-F238E27FC236}">
              <a16:creationId xmlns:a16="http://schemas.microsoft.com/office/drawing/2014/main" id="{2F46E28F-1E04-4AC5-95AE-1B3E5DF401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504825</xdr:colOff>
      <xdr:row>15</xdr:row>
      <xdr:rowOff>1698</xdr:rowOff>
    </xdr:from>
    <xdr:to>
      <xdr:col>9</xdr:col>
      <xdr:colOff>544285</xdr:colOff>
      <xdr:row>32</xdr:row>
      <xdr:rowOff>158749</xdr:rowOff>
    </xdr:to>
    <xdr:graphicFrame macro="">
      <xdr:nvGraphicFramePr>
        <xdr:cNvPr id="26" name="Chart 25">
          <a:extLst>
            <a:ext uri="{FF2B5EF4-FFF2-40B4-BE49-F238E27FC236}">
              <a16:creationId xmlns:a16="http://schemas.microsoft.com/office/drawing/2014/main" id="{F3CF999D-6412-45C7-AC52-D8EA8EF2C5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10588</xdr:colOff>
      <xdr:row>2</xdr:row>
      <xdr:rowOff>97193</xdr:rowOff>
    </xdr:from>
    <xdr:to>
      <xdr:col>15</xdr:col>
      <xdr:colOff>264586</xdr:colOff>
      <xdr:row>13</xdr:row>
      <xdr:rowOff>139526</xdr:rowOff>
    </xdr:to>
    <xdr:graphicFrame macro="">
      <xdr:nvGraphicFramePr>
        <xdr:cNvPr id="28" name="Chart 27">
          <a:extLst>
            <a:ext uri="{FF2B5EF4-FFF2-40B4-BE49-F238E27FC236}">
              <a16:creationId xmlns:a16="http://schemas.microsoft.com/office/drawing/2014/main" id="{0BAD3D8A-BFE0-4A38-9500-3D2FC27555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402167</xdr:colOff>
      <xdr:row>2</xdr:row>
      <xdr:rowOff>107776</xdr:rowOff>
    </xdr:from>
    <xdr:to>
      <xdr:col>19</xdr:col>
      <xdr:colOff>21167</xdr:colOff>
      <xdr:row>13</xdr:row>
      <xdr:rowOff>148167</xdr:rowOff>
    </xdr:to>
    <xdr:graphicFrame macro="">
      <xdr:nvGraphicFramePr>
        <xdr:cNvPr id="31" name="Chart 30">
          <a:extLst>
            <a:ext uri="{FF2B5EF4-FFF2-40B4-BE49-F238E27FC236}">
              <a16:creationId xmlns:a16="http://schemas.microsoft.com/office/drawing/2014/main" id="{50753E80-B4A8-459F-92A9-4FDA3B905B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639535</xdr:colOff>
      <xdr:row>26</xdr:row>
      <xdr:rowOff>137583</xdr:rowOff>
    </xdr:from>
    <xdr:to>
      <xdr:col>11</xdr:col>
      <xdr:colOff>645584</xdr:colOff>
      <xdr:row>30</xdr:row>
      <xdr:rowOff>137584</xdr:rowOff>
    </xdr:to>
    <xdr:sp macro="" textlink="">
      <xdr:nvSpPr>
        <xdr:cNvPr id="12" name="Rectangle 11">
          <a:extLst>
            <a:ext uri="{FF2B5EF4-FFF2-40B4-BE49-F238E27FC236}">
              <a16:creationId xmlns:a16="http://schemas.microsoft.com/office/drawing/2014/main" id="{5A1B00B6-3FC5-4BBF-8D5D-6169C1AF4E03}"/>
            </a:ext>
          </a:extLst>
        </xdr:cNvPr>
        <xdr:cNvSpPr/>
      </xdr:nvSpPr>
      <xdr:spPr>
        <a:xfrm>
          <a:off x="5742214" y="5145012"/>
          <a:ext cx="1366763" cy="748393"/>
        </a:xfrm>
        <a:prstGeom prst="rect">
          <a:avLst/>
        </a:prstGeom>
        <a:no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0.958620486112" backgroundQuery="1" createdVersion="7" refreshedVersion="7" minRefreshableVersion="3" recordCount="0" supportSubquery="1" supportAdvancedDrill="1" xr:uid="{6EA8C9B6-FFA8-42CA-8DFF-D8941428083B}">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0.958621990743" backgroundQuery="1" createdVersion="7" refreshedVersion="7" minRefreshableVersion="3" recordCount="0" supportSubquery="1" supportAdvancedDrill="1" xr:uid="{6AAE50D1-23CE-4FC5-8F97-F39E1D6A06AC}">
  <cacheSource type="external" connectionId="1"/>
  <cacheFields count="3">
    <cacheField name="[customers].[Gedner].[Gedner]" caption="Gedner" numFmtId="0" hierarchy="13" level="1">
      <sharedItems count="2">
        <s v="Female"/>
        <s v="Male"/>
      </sharedItems>
    </cacheField>
    <cacheField name="[Measures].[Call Count ]" caption="Call Count " numFmtId="0" hierarchy="17" level="32767"/>
    <cacheField name="[customers].[City].[City]" caption="City" numFmtId="0" hierarchy="15" level="1">
      <sharedItems count="3">
        <s v="Cincinnati"/>
        <s v="Cleveland"/>
        <s v="Columbus"/>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0"/>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0.95862326389" backgroundQuery="1" createdVersion="7" refreshedVersion="7" minRefreshableVersion="3" recordCount="0" supportSubquery="1" supportAdvancedDrill="1" xr:uid="{306A45CE-3103-4158-B19B-2A0D1E5E843C}">
  <cacheSource type="external" connectionId="1"/>
  <cacheFields count="3">
    <cacheField name="[calls].[Representative].[Representative]" caption="Representative" numFmtId="0" hierarchy="3" level="1">
      <sharedItems count="5">
        <s v="R01"/>
        <s v="R02"/>
        <s v="R03"/>
        <s v="R04"/>
        <s v="R05"/>
      </sharedItems>
    </cacheField>
    <cacheField name="[Measures].[Call Count ]" caption="Call Count " numFmtId="0" hierarchy="17" level="32767"/>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0.958624884261" backgroundQuery="1" createdVersion="7" refreshedVersion="7" minRefreshableVersion="3" recordCount="0" supportSubquery="1" supportAdvancedDrill="1" xr:uid="{01517342-E50A-42D9-B323-C93180E01B19}">
  <cacheSource type="external" connectionId="1"/>
  <cacheFields count="5">
    <cacheField name="[Measures].[Call Count ]" caption="Call Count "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0.97651724537" backgroundQuery="1" createdVersion="7" refreshedVersion="7" minRefreshableVersion="3" recordCount="0" supportSubquery="1" supportAdvancedDrill="1" xr:uid="{2F97C903-A427-478A-A0DC-50C9502FF894}">
  <cacheSource type="external" connectionId="1"/>
  <cacheFields count="6">
    <cacheField name="[Measures].[Call Count ]" caption="Call Count "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0.976521990742" backgroundQuery="1" createdVersion="7" refreshedVersion="7" minRefreshableVersion="3" recordCount="0" supportSubquery="1" supportAdvancedDrill="1" xr:uid="{1BE9A4F6-A299-499F-BE53-E5708DB26BF3}">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3-12-30T00:00:00" count="152">
        <d v="2023-01-01T00:00:00"/>
        <d v="2023-01-03T00:00:00"/>
        <d v="2023-01-04T00:00:00"/>
        <d v="2023-01-05T00:00:00"/>
        <d v="2023-01-08T00:00:00"/>
        <d v="2023-01-14T00:00:00"/>
        <d v="2023-01-16T00:00:00"/>
        <d v="2023-01-18T00:00:00"/>
        <d v="2023-01-20T00:00:00"/>
        <d v="2023-01-23T00:00:00"/>
        <d v="2023-01-24T00:00:00"/>
        <d v="2023-01-26T00:00:00"/>
        <d v="2023-01-30T00:00:00"/>
        <d v="2023-02-02T00:00:00"/>
        <d v="2023-02-07T00:00:00"/>
        <d v="2023-02-08T00:00:00"/>
        <d v="2023-02-12T00:00:00"/>
        <d v="2023-02-15T00:00:00"/>
        <d v="2023-02-16T00:00:00"/>
        <d v="2023-02-18T00:00:00"/>
        <d v="2023-02-24T00:00:00"/>
        <d v="2023-03-01T00:00:00"/>
        <d v="2023-03-02T00:00:00"/>
        <d v="2023-03-03T00:00:00"/>
        <d v="2023-03-04T00:00:00"/>
        <d v="2023-03-05T00:00:00"/>
        <d v="2023-03-06T00:00:00"/>
        <d v="2023-03-07T00:00:00"/>
        <d v="2023-03-08T00:00:00"/>
        <d v="2023-03-10T00:00:00"/>
        <d v="2023-03-12T00:00:00"/>
        <d v="2023-03-14T00:00:00"/>
        <d v="2023-03-15T00:00:00"/>
        <d v="2023-03-16T00:00:00"/>
        <d v="2023-03-18T00:00:00"/>
        <d v="2023-03-19T00:00:00"/>
        <d v="2023-03-20T00:00:00"/>
        <d v="2023-03-21T00:00:00"/>
        <d v="2023-03-22T00:00:00"/>
        <d v="2023-03-25T00:00:00"/>
        <d v="2023-03-26T00:00:00"/>
        <d v="2023-03-27T00:00:00"/>
        <d v="2023-03-28T00:00:00"/>
        <d v="2023-04-01T00:00:00"/>
        <d v="2023-04-04T00:00:00"/>
        <d v="2023-04-05T00:00:00"/>
        <d v="2023-04-06T00:00:00"/>
        <d v="2023-04-07T00:00:00"/>
        <d v="2023-04-08T00:00:00"/>
        <d v="2023-04-09T00:00:00"/>
        <d v="2023-04-10T00:00:00"/>
        <d v="2023-04-13T00:00:00"/>
        <d v="2023-04-14T00:00:00"/>
        <d v="2023-04-15T00:00:00"/>
        <d v="2023-04-16T00:00:00"/>
        <d v="2023-04-17T00:00:00"/>
        <d v="2023-04-19T00:00:00"/>
        <d v="2023-04-21T00:00:00"/>
        <d v="2023-04-22T00:00:00"/>
        <d v="2023-04-24T00:00:00"/>
        <d v="2023-04-25T00:00:00"/>
        <d v="2023-04-26T00:00:00"/>
        <d v="2023-04-28T00:00:00"/>
        <d v="2023-04-29T00:00:00"/>
        <d v="2023-05-01T00:00:00"/>
        <d v="2023-05-03T00:00:00"/>
        <d v="2023-05-04T00:00:00"/>
        <d v="2023-05-08T00:00:00"/>
        <d v="2023-05-09T00:00:00"/>
        <d v="2023-05-14T00:00:00"/>
        <d v="2023-05-16T00:00:00"/>
        <d v="2023-05-17T00:00:00"/>
        <d v="2023-05-24T00:00:00"/>
        <d v="2023-05-26T00:00:00"/>
        <d v="2023-05-30T00:00:00"/>
        <d v="2023-05-31T00:00:00"/>
        <d v="2023-06-01T00:00:00"/>
        <d v="2023-06-04T00:00:00"/>
        <d v="2023-06-05T00:00:00"/>
        <d v="2023-06-06T00:00:00"/>
        <d v="2023-06-14T00:00:00"/>
        <d v="2023-06-21T00:00:00"/>
        <d v="2023-06-23T00:00:00"/>
        <d v="2023-06-26T00:00:00"/>
        <d v="2023-06-27T00:00:00"/>
        <d v="2023-07-01T00:00:00"/>
        <d v="2023-07-02T00:00:00"/>
        <d v="2023-07-07T00:00:00"/>
        <d v="2023-07-11T00:00:00"/>
        <d v="2023-07-12T00:00:00"/>
        <d v="2023-07-13T00:00:00"/>
        <d v="2023-07-20T00:00:00"/>
        <d v="2023-07-25T00:00:00"/>
        <d v="2023-07-31T00:00:00"/>
        <d v="2023-08-03T00:00:00"/>
        <d v="2023-08-04T00:00:00"/>
        <d v="2023-08-05T00:00:00"/>
        <d v="2023-08-08T00:00:00"/>
        <d v="2023-08-13T00:00:00"/>
        <d v="2023-08-17T00:00:00"/>
        <d v="2023-08-21T00:00:00"/>
        <d v="2023-08-24T00:00:00"/>
        <d v="2023-08-25T00:00:00"/>
        <d v="2023-08-26T00:00:00"/>
        <d v="2023-08-30T00:00:00"/>
        <d v="2023-08-31T00:00:00"/>
        <d v="2023-09-03T00:00:00"/>
        <d v="2023-09-08T00:00:00"/>
        <d v="2023-09-09T00:00:00"/>
        <d v="2023-09-10T00:00:00"/>
        <d v="2023-09-12T00:00:00"/>
        <d v="2023-09-16T00:00:00"/>
        <d v="2023-09-21T00:00:00"/>
        <d v="2023-09-24T00:00:00"/>
        <d v="2023-09-27T00:00:00"/>
        <d v="2023-09-29T00:00:00"/>
        <d v="2023-10-01T00:00:00"/>
        <d v="2023-10-03T00:00:00"/>
        <d v="2023-10-05T00:00:00"/>
        <d v="2023-10-10T00:00:00"/>
        <d v="2023-10-12T00:00:00"/>
        <d v="2023-10-13T00:00:00"/>
        <d v="2023-10-15T00:00:00"/>
        <d v="2023-10-16T00:00:00"/>
        <d v="2023-10-18T00:00:00"/>
        <d v="2023-10-19T00:00:00"/>
        <d v="2023-10-22T00:00:00"/>
        <d v="2023-10-24T00:00:00"/>
        <d v="2023-10-25T00:00:00"/>
        <d v="2023-10-29T00:00:00"/>
        <d v="2023-11-01T00:00:00"/>
        <d v="2023-11-06T00:00:00"/>
        <d v="2023-11-08T00:00:00"/>
        <d v="2023-11-10T00:00:00"/>
        <d v="2023-11-14T00:00:00"/>
        <d v="2023-11-15T00:00:00"/>
        <d v="2023-11-16T00:00:00"/>
        <d v="2023-11-17T00:00:00"/>
        <d v="2023-11-18T00:00:00"/>
        <d v="2023-11-21T00:00:00"/>
        <d v="2023-11-24T00:00:00"/>
        <d v="2023-11-27T00:00:00"/>
        <d v="2023-11-28T00:00:00"/>
        <d v="2023-12-02T00:00:00"/>
        <d v="2023-12-03T00:00:00"/>
        <d v="2023-12-08T00:00:00"/>
        <d v="2023-12-09T00:00:00"/>
        <d v="2023-12-13T00:00:00"/>
        <d v="2023-12-15T00:00:00"/>
        <d v="2023-12-21T00:00:00"/>
        <d v="2023-12-26T00:00:00"/>
        <d v="2023-12-29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 caption="Call Count " numFmtId="0" hierarchy="17" level="32767"/>
    <cacheField name="Dummy0" numFmtId="0" hierarchy="25" level="32767">
      <extLst>
        <ext xmlns:x14="http://schemas.microsoft.com/office/spreadsheetml/2009/9/main" uri="{63CAB8AC-B538-458d-9737-405883B0398D}">
          <x14:cacheField ignore="1"/>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0.976526273145" backgroundQuery="1" createdVersion="7" refreshedVersion="7" minRefreshableVersion="3" recordCount="0" supportSubquery="1" supportAdvancedDrill="1" xr:uid="{A67EF5DC-5FDB-44ED-A3DE-D1599595829B}">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 caption="Call Count " numFmtId="0" hierarchy="17"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0.97653078704" backgroundQuery="1" createdVersion="7" refreshedVersion="7" minRefreshableVersion="3" recordCount="0" supportSubquery="1" supportAdvancedDrill="1" xr:uid="{1F064F19-A955-484D-A1F4-5EBF13364C8B}">
  <cacheSource type="external" connectionId="1"/>
  <cacheFields count="1">
    <cacheField name="[calls].[Representative].[Representative]" caption="Representative" numFmtId="0" hierarchy="3" level="1">
      <sharedItems count="1">
        <s v="R03"/>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0.976535300928" backgroundQuery="1" createdVersion="7" refreshedVersion="7" minRefreshableVersion="3" recordCount="0" supportSubquery="1" supportAdvancedDrill="1" xr:uid="{8514BB42-28B0-4DBF-9032-865CAE5B3BB4}">
  <cacheSource type="external" connectionId="1"/>
  <cacheFields count="3">
    <cacheField name="[Measures].[Call Count ]" caption="Call Count " numFmtId="0" hierarchy="17" level="32767"/>
    <cacheField name="[calls].[Representative].[Representative]" caption="Representative" numFmtId="0" hierarchy="3" level="1">
      <sharedItems containsSemiMixedTypes="0" containsNonDate="0" containsString="0"/>
    </cacheField>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2"/>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0.958625925923" backgroundQuery="1" createdVersion="3" refreshedVersion="7" minRefreshableVersion="3" recordCount="0" supportSubquery="1" supportAdvancedDrill="1" xr:uid="{90483CD5-BD5D-4E65-8F0B-206B0286A647}">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10410498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96C3ED-B6E3-4FFE-A514-90A5660DB9E4}" name="Summary pivot"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1F6700-FD2E-48EE-BFA9-07DC74A71336}" name="Monthly Trend"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24:C3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 2" fld="4" subtotal="count" baseField="0" baseItem="0">
      <extLst>
        <ext xmlns:x14="http://schemas.microsoft.com/office/spreadsheetml/2009/9/main" uri="{E15A36E0-9728-4e99-A89B-3F7291B0FE68}">
          <x14:dataField sourceField="3" uniqueName="[__Xl2].[Measures].[Call Count ]"/>
        </ext>
      </extLst>
    </dataField>
  </dataFields>
  <chartFormats count="2">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428C1B-04E1-49F1-A4BD-08242F32A525}"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80:E85" firstHeaderRow="1" firstDataRow="2" firstDataCol="1"/>
  <pivotFields count="3">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0"/>
  </colFields>
  <colItems count="3">
    <i>
      <x/>
    </i>
    <i>
      <x v="1"/>
    </i>
    <i t="grand">
      <x/>
    </i>
  </colItems>
  <dataFields count="1">
    <dataField fld="1" subtotal="count" baseField="0" baseItem="0"/>
  </dataFields>
  <chartFormats count="2">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9998C1-7330-47DF-AA16-E1F19D58AAC9}" name="Rep Pivot"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D1EE4E-4482-481D-85BF-06FC0AF3739C}" name="Selected Rep Pivot" cacheId="7"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B73:B74"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14">
      <pivotArea dataOnly="0" fieldPosition="0">
        <references count="1">
          <reference field="0" count="0"/>
        </references>
      </pivotArea>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08E0DC-C690-4CC4-8C6C-9029839980CD}" name="rep Amounts"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8">
  <location ref="B102:H121"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81CB69-9283-44D1-A3F0-E228406BA606}" name="Reps Pivot"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7:C53"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5EBF3C-E990-479E-9C2D-2389E74C055D}" name="Rep satisfaction"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B90:C97" firstHeaderRow="1" firstDataRow="1" firstDataCol="1"/>
  <pivotFields count="3">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s>
  <rowFields count="1">
    <field x="2"/>
  </rowFields>
  <rowItems count="7">
    <i>
      <x/>
    </i>
    <i>
      <x v="1"/>
    </i>
    <i>
      <x v="2"/>
    </i>
    <i>
      <x v="3"/>
    </i>
    <i>
      <x v="4"/>
    </i>
    <i>
      <x v="5"/>
    </i>
    <i t="grand">
      <x/>
    </i>
  </rowItems>
  <colItems count="1">
    <i/>
  </colItems>
  <dataFields count="1">
    <dataField fld="0"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D619CE1-A414-49A5-A2D6-6FB2DBAEC279}" name="weekday trend"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G24:H32"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3">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5CFE7EBF-1682-414E-8617-F3AE5D3B42CB}" sourceName="[calls].[Representative]">
  <pivotTables>
    <pivotTable tabId="6" name="Rep Pivot"/>
    <pivotTable tabId="6" name="Monthly Trend"/>
    <pivotTable tabId="6" name="weekday trend"/>
    <pivotTable tabId="6" name="Selected Rep Pivot"/>
    <pivotTable tabId="6" name="Rep satisfaction"/>
  </pivotTables>
  <data>
    <olap pivotCacheId="2104104986">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0151FAB5-3F6D-4A03-99AC-3E9B65C6EDF0}" cache="Slicer_Representative" caption="Representative" level="1" style="SlicerStyleDark5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3"/>
    <tableColumn id="5" xr3:uid="{5A35565E-8707-4DED-AD15-A0669D67B382}" name="Date of Call" dataDxfId="12"/>
    <tableColumn id="6" xr3:uid="{F2E4F158-B41F-47BC-8DF8-DFCADFEE4E40}" name="Purchase Amount"/>
    <tableColumn id="7" xr3:uid="{04B291B5-47BD-4F78-8FD8-D1551CCA6BD9}" name="Satisfaction Rating"/>
    <tableColumn id="8" xr3:uid="{6E4123C0-0B17-43B8-A142-A1E540CE974C}" name="FY" dataDxfId="11">
      <calculatedColumnFormula>IF(MONTH(calls[[#This Row],[Date of Call]])&lt;=6, YEAR(calls[[#This Row],[Date of Call]]), YEAR(calls[[#This Row],[Date of Call]])+1)</calculatedColumnFormula>
    </tableColumn>
    <tableColumn id="9" xr3:uid="{199FA271-5E9B-46CE-9BC6-2801F92CD17E}" name="Day of week" dataDxfId="10">
      <calculatedColumnFormula>TEXT(calls[[#This Row],[Date of Call]],"DDDD")</calculatedColumnFormula>
    </tableColumn>
    <tableColumn id="10" xr3:uid="{328CDB09-95B8-4D5E-9ED9-EF0D363735A1}" name="Duration Bucket" dataDxfId="9">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8">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7" headerRowBorderDxfId="6" tableBorderDxfId="5" totalsRowBorderDxfId="4">
  <autoFilter ref="Q3:T18" xr:uid="{27158F51-A707-4171-8A04-81FB0AABCBA5}"/>
  <tableColumns count="4">
    <tableColumn id="1" xr3:uid="{02688061-6A8C-4E23-B7FF-D00CD8B58CAC}" name="Customer ID" dataDxfId="3"/>
    <tableColumn id="2" xr3:uid="{771678B6-DB44-426B-9874-B4E421A440D5}" name="Gedner" dataDxfId="2"/>
    <tableColumn id="3" xr3:uid="{B0D41C62-587E-494D-B49A-603F2C05F8D3}" name="Age" dataDxfId="1"/>
    <tableColumn id="4" xr3:uid="{663F92D6-FE31-4D81-9E01-8D066DDC8A88}" name="City"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2">
      <a:majorFont>
        <a:latin typeface="Arial Black"/>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CFAE4-CA45-45DC-BB25-598D86FFFC05}">
  <dimension ref="C1:S33"/>
  <sheetViews>
    <sheetView tabSelected="1" zoomScale="90" zoomScaleNormal="90" workbookViewId="0">
      <selection activeCell="U9" sqref="U9"/>
    </sheetView>
  </sheetViews>
  <sheetFormatPr defaultRowHeight="14.25"/>
  <cols>
    <col min="1" max="1" width="2.125" style="20" customWidth="1"/>
    <col min="2" max="2" width="2.25" style="20" customWidth="1"/>
    <col min="3" max="13" width="9" style="20"/>
    <col min="14" max="14" width="11.375" style="20" customWidth="1"/>
    <col min="15" max="16384" width="9" style="20"/>
  </cols>
  <sheetData>
    <row r="1" spans="3:19" ht="42.75">
      <c r="C1" s="43" t="s">
        <v>1081</v>
      </c>
    </row>
    <row r="16" spans="3:19" ht="15">
      <c r="M16" s="30"/>
      <c r="N16" s="39" t="str" cm="1">
        <f t="array" ref="N16:R16">Pivots!C103:G103</f>
        <v>R01</v>
      </c>
      <c r="O16" s="39" t="str">
        <v>R02</v>
      </c>
      <c r="P16" s="39" t="str">
        <v>R03</v>
      </c>
      <c r="Q16" s="39" t="str">
        <v>R04</v>
      </c>
      <c r="R16" s="39" t="str">
        <v>R05</v>
      </c>
      <c r="S16" s="40" t="s">
        <v>1075</v>
      </c>
    </row>
    <row r="17" spans="11:19" ht="15">
      <c r="M17" s="41" t="str" cm="1">
        <f t="array" ref="M17:S33">IF(Pivots!B104:H120="","",Pivots!B104:H120)</f>
        <v>Cincinnati</v>
      </c>
      <c r="N17" s="31" t="str">
        <v/>
      </c>
      <c r="O17" s="31" t="str">
        <v/>
      </c>
      <c r="P17" s="31" t="str">
        <v/>
      </c>
      <c r="Q17" s="31" t="str">
        <v/>
      </c>
      <c r="R17" s="31" t="str">
        <v/>
      </c>
      <c r="S17" s="32" t="str">
        <v/>
      </c>
    </row>
    <row r="18" spans="11:19">
      <c r="M18" s="33" t="str">
        <v>C0003</v>
      </c>
      <c r="N18" s="34">
        <v>891</v>
      </c>
      <c r="O18" s="34">
        <v>1332</v>
      </c>
      <c r="P18" s="34">
        <v>1282</v>
      </c>
      <c r="Q18" s="34">
        <v>739</v>
      </c>
      <c r="R18" s="34">
        <v>560</v>
      </c>
      <c r="S18" s="35">
        <v>4804</v>
      </c>
    </row>
    <row r="19" spans="11:19">
      <c r="M19" s="33" t="str">
        <v>C0004</v>
      </c>
      <c r="N19" s="34">
        <v>1991</v>
      </c>
      <c r="O19" s="34">
        <v>1886</v>
      </c>
      <c r="P19" s="34">
        <v>1206</v>
      </c>
      <c r="Q19" s="34">
        <v>884</v>
      </c>
      <c r="R19" s="34">
        <v>1722</v>
      </c>
      <c r="S19" s="35">
        <v>7689</v>
      </c>
    </row>
    <row r="20" spans="11:19">
      <c r="M20" s="33" t="str">
        <v>C0011</v>
      </c>
      <c r="N20" s="34">
        <v>1163</v>
      </c>
      <c r="O20" s="34">
        <v>1180</v>
      </c>
      <c r="P20" s="34">
        <v>1616</v>
      </c>
      <c r="Q20" s="34">
        <v>1043</v>
      </c>
      <c r="R20" s="34">
        <v>1747</v>
      </c>
      <c r="S20" s="35">
        <v>6749</v>
      </c>
    </row>
    <row r="21" spans="11:19">
      <c r="M21" s="33" t="str">
        <v>C0012</v>
      </c>
      <c r="N21" s="34">
        <v>1438</v>
      </c>
      <c r="O21" s="34">
        <v>1616</v>
      </c>
      <c r="P21" s="34">
        <v>866</v>
      </c>
      <c r="Q21" s="34">
        <v>829</v>
      </c>
      <c r="R21" s="34">
        <v>2070</v>
      </c>
      <c r="S21" s="35">
        <v>6819</v>
      </c>
    </row>
    <row r="22" spans="11:19" ht="15">
      <c r="M22" s="41" t="str">
        <v>Cleveland</v>
      </c>
      <c r="N22" s="34" t="str">
        <v/>
      </c>
      <c r="O22" s="34" t="str">
        <v/>
      </c>
      <c r="P22" s="34" t="str">
        <v/>
      </c>
      <c r="Q22" s="34" t="str">
        <v/>
      </c>
      <c r="R22" s="34" t="str">
        <v/>
      </c>
      <c r="S22" s="35" t="str">
        <v/>
      </c>
    </row>
    <row r="23" spans="11:19">
      <c r="M23" s="33" t="str">
        <v>C0002</v>
      </c>
      <c r="N23" s="34">
        <v>1233</v>
      </c>
      <c r="O23" s="34">
        <v>223</v>
      </c>
      <c r="P23" s="34">
        <v>1680</v>
      </c>
      <c r="Q23" s="34">
        <v>990</v>
      </c>
      <c r="R23" s="34">
        <v>1508</v>
      </c>
      <c r="S23" s="35">
        <v>5634</v>
      </c>
    </row>
    <row r="24" spans="11:19">
      <c r="M24" s="33" t="str">
        <v>C0007</v>
      </c>
      <c r="N24" s="34">
        <v>1598</v>
      </c>
      <c r="O24" s="34">
        <v>1907</v>
      </c>
      <c r="P24" s="34">
        <v>869</v>
      </c>
      <c r="Q24" s="34">
        <v>1426</v>
      </c>
      <c r="R24" s="34">
        <v>1416</v>
      </c>
      <c r="S24" s="35">
        <v>7216</v>
      </c>
    </row>
    <row r="25" spans="11:19">
      <c r="M25" s="33" t="str">
        <v>C0008</v>
      </c>
      <c r="N25" s="34">
        <v>900</v>
      </c>
      <c r="O25" s="34">
        <v>1016</v>
      </c>
      <c r="P25" s="34">
        <v>960</v>
      </c>
      <c r="Q25" s="34">
        <v>940</v>
      </c>
      <c r="R25" s="34">
        <v>1193</v>
      </c>
      <c r="S25" s="35">
        <v>5009</v>
      </c>
    </row>
    <row r="26" spans="11:19">
      <c r="M26" s="33" t="str">
        <v>C0010</v>
      </c>
      <c r="N26" s="34">
        <v>900</v>
      </c>
      <c r="O26" s="34">
        <v>1470</v>
      </c>
      <c r="P26" s="34">
        <v>1617</v>
      </c>
      <c r="Q26" s="34">
        <v>1314</v>
      </c>
      <c r="R26" s="34">
        <v>941</v>
      </c>
      <c r="S26" s="35">
        <v>6242</v>
      </c>
    </row>
    <row r="27" spans="11:19">
      <c r="M27" s="33" t="str">
        <v>C0013</v>
      </c>
      <c r="N27" s="34">
        <v>1255</v>
      </c>
      <c r="O27" s="34">
        <v>516</v>
      </c>
      <c r="P27" s="34">
        <v>1874</v>
      </c>
      <c r="Q27" s="34">
        <v>1863</v>
      </c>
      <c r="R27" s="34">
        <v>1722</v>
      </c>
      <c r="S27" s="35">
        <v>7230</v>
      </c>
    </row>
    <row r="28" spans="11:19" ht="15" customHeight="1">
      <c r="K28" s="44" t="str">
        <f>Pivots!I81</f>
        <v>% of calls:21%</v>
      </c>
      <c r="L28" s="45"/>
      <c r="M28" s="33" t="str">
        <v>C0015</v>
      </c>
      <c r="N28" s="34">
        <v>1138</v>
      </c>
      <c r="O28" s="34">
        <v>1898</v>
      </c>
      <c r="P28" s="34">
        <v>1482</v>
      </c>
      <c r="Q28" s="34">
        <v>846</v>
      </c>
      <c r="R28" s="34">
        <v>1154</v>
      </c>
      <c r="S28" s="35">
        <v>6518</v>
      </c>
    </row>
    <row r="29" spans="11:19" ht="15">
      <c r="K29" s="44" t="str">
        <f>Pivots!I82</f>
        <v>Call Rank:2</v>
      </c>
      <c r="L29" s="45"/>
      <c r="M29" s="41" t="str">
        <v>Columbus</v>
      </c>
      <c r="N29" s="34" t="str">
        <v/>
      </c>
      <c r="O29" s="34" t="str">
        <v/>
      </c>
      <c r="P29" s="34" t="str">
        <v/>
      </c>
      <c r="Q29" s="34" t="str">
        <v/>
      </c>
      <c r="R29" s="34" t="str">
        <v/>
      </c>
      <c r="S29" s="35" t="str">
        <v/>
      </c>
    </row>
    <row r="30" spans="11:19" ht="15" customHeight="1">
      <c r="K30" s="44" t="str">
        <f>Pivots!I83</f>
        <v>Amount Rank:1</v>
      </c>
      <c r="L30" s="45"/>
      <c r="M30" s="33" t="str">
        <v>C0001</v>
      </c>
      <c r="N30" s="34">
        <v>1655</v>
      </c>
      <c r="O30" s="34">
        <v>805</v>
      </c>
      <c r="P30" s="34">
        <v>2263</v>
      </c>
      <c r="Q30" s="34">
        <v>987</v>
      </c>
      <c r="R30" s="34">
        <v>1075</v>
      </c>
      <c r="S30" s="35">
        <v>6785</v>
      </c>
    </row>
    <row r="31" spans="11:19">
      <c r="M31" s="33" t="str">
        <v>C0005</v>
      </c>
      <c r="N31" s="34">
        <v>1104</v>
      </c>
      <c r="O31" s="34">
        <v>2280</v>
      </c>
      <c r="P31" s="34">
        <v>1445</v>
      </c>
      <c r="Q31" s="34">
        <v>1722</v>
      </c>
      <c r="R31" s="34">
        <v>1196</v>
      </c>
      <c r="S31" s="35">
        <v>7747</v>
      </c>
    </row>
    <row r="32" spans="11:19">
      <c r="M32" s="33" t="str">
        <v>C0006</v>
      </c>
      <c r="N32" s="34">
        <v>372</v>
      </c>
      <c r="O32" s="34">
        <v>1818</v>
      </c>
      <c r="P32" s="34">
        <v>1346</v>
      </c>
      <c r="Q32" s="34">
        <v>1156</v>
      </c>
      <c r="R32" s="34">
        <v>1484</v>
      </c>
      <c r="S32" s="35">
        <v>6176</v>
      </c>
    </row>
    <row r="33" spans="13:19">
      <c r="M33" s="36" t="str">
        <v>C0009</v>
      </c>
      <c r="N33" s="37">
        <v>1415</v>
      </c>
      <c r="O33" s="37">
        <v>1271</v>
      </c>
      <c r="P33" s="37">
        <v>1214</v>
      </c>
      <c r="Q33" s="37">
        <v>1135</v>
      </c>
      <c r="R33" s="37">
        <v>1566</v>
      </c>
      <c r="S33" s="38">
        <v>6601</v>
      </c>
    </row>
  </sheetData>
  <conditionalFormatting sqref="N17:R33">
    <cfRule type="dataBar" priority="3">
      <dataBar>
        <cfvo type="num" val="0"/>
        <cfvo type="formula" val="MAX($N$17:$R$33)*2"/>
        <color theme="1" tint="0.249977111117893"/>
      </dataBar>
      <extLst>
        <ext xmlns:x14="http://schemas.microsoft.com/office/spreadsheetml/2009/9/main" uri="{B025F937-C7B1-47D3-B67F-A62EFF666E3E}">
          <x14:id>{6D10221B-5555-4358-B2BE-723B0F3BB354}</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6D10221B-5555-4358-B2BE-723B0F3BB354}">
            <x14:dataBar minLength="0" maxLength="100" gradient="0">
              <x14:cfvo type="num">
                <xm:f>0</xm:f>
              </x14:cfvo>
              <x14:cfvo type="formula">
                <xm:f>MAX($N$17:$R$33)*2</xm:f>
              </x14:cfvo>
              <x14:negativeFillColor rgb="FFFF0000"/>
              <x14:axisColor rgb="FF000000"/>
            </x14:dataBar>
          </x14:cfRule>
          <xm:sqref>N17:R33</xm:sqref>
        </x14:conditionalFormatting>
        <x14:conditionalFormatting xmlns:xm="http://schemas.microsoft.com/office/excel/2006/main">
          <x14:cfRule type="expression" priority="4" id="{1D300ABA-E252-4C4E-994D-DD9863F0E123}">
            <xm:f>N$16=Pivots!$B$74</xm:f>
            <x14:dxf>
              <fill>
                <patternFill>
                  <bgColor theme="8" tint="0.59996337778862885"/>
                </patternFill>
              </fill>
              <border>
                <left style="thin">
                  <color theme="1" tint="0.34998626667073579"/>
                </left>
                <right style="thin">
                  <color theme="1" tint="0.34998626667073579"/>
                </right>
                <vertical/>
                <horizontal/>
              </border>
            </x14:dxf>
          </x14:cfRule>
          <x14:cfRule type="expression" priority="5" id="{AC84DB7E-2D33-463D-8D90-A7C7E5A8718F}">
            <xm:f>N$16=Pivots!$B$74</xm:f>
            <x14:dxf/>
          </x14:cfRule>
          <xm:sqref>N16:R33</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430EB-FBCA-4EC3-83E6-6228A0FDD5C8}">
  <dimension ref="A3:J121"/>
  <sheetViews>
    <sheetView topLeftCell="A72" zoomScale="130" zoomScaleNormal="130" workbookViewId="0">
      <selection activeCell="I82" sqref="I82"/>
    </sheetView>
  </sheetViews>
  <sheetFormatPr defaultRowHeight="14.25"/>
  <cols>
    <col min="1" max="2" width="13.125" bestFit="1" customWidth="1"/>
    <col min="3" max="3" width="10.625" bestFit="1" customWidth="1"/>
    <col min="4" max="4" width="11" bestFit="1" customWidth="1"/>
    <col min="5" max="5" width="7.5" bestFit="1" customWidth="1"/>
    <col min="6" max="6" width="6.625" bestFit="1" customWidth="1"/>
    <col min="7" max="7" width="13.125" bestFit="1" customWidth="1"/>
    <col min="8" max="8" width="10.625" bestFit="1" customWidth="1"/>
    <col min="9" max="9" width="13.5" bestFit="1" customWidth="1"/>
    <col min="10" max="10" width="12.5" bestFit="1" customWidth="1"/>
    <col min="11" max="11" width="10.625" bestFit="1" customWidth="1"/>
    <col min="12" max="12" width="12.5" bestFit="1" customWidth="1"/>
    <col min="13" max="13" width="15.75" bestFit="1" customWidth="1"/>
    <col min="14" max="14" width="17.75" bestFit="1" customWidth="1"/>
  </cols>
  <sheetData>
    <row r="3" spans="1:5">
      <c r="A3" t="s">
        <v>1040</v>
      </c>
      <c r="B3" t="s">
        <v>1041</v>
      </c>
      <c r="C3" t="s">
        <v>1042</v>
      </c>
      <c r="D3" t="s">
        <v>1043</v>
      </c>
      <c r="E3" t="s">
        <v>1044</v>
      </c>
    </row>
    <row r="4" spans="1:5">
      <c r="A4" s="21">
        <v>1000</v>
      </c>
      <c r="B4" s="22">
        <v>96623</v>
      </c>
      <c r="C4" s="21">
        <v>89850</v>
      </c>
      <c r="D4" s="23">
        <v>3.8854000000000033</v>
      </c>
      <c r="E4" s="21">
        <v>307</v>
      </c>
    </row>
    <row r="9" spans="1:5">
      <c r="A9" t="s">
        <v>1040</v>
      </c>
      <c r="B9" t="s">
        <v>1041</v>
      </c>
      <c r="C9" t="s">
        <v>1042</v>
      </c>
      <c r="D9" t="s">
        <v>1043</v>
      </c>
      <c r="E9" t="s">
        <v>1044</v>
      </c>
    </row>
    <row r="10" spans="1:5">
      <c r="A10" s="21">
        <v>207</v>
      </c>
      <c r="B10" s="22">
        <v>20872</v>
      </c>
      <c r="C10" s="21">
        <v>17700</v>
      </c>
      <c r="D10" s="23">
        <v>3.8589371980676304</v>
      </c>
      <c r="E10" s="21">
        <v>60</v>
      </c>
    </row>
    <row r="24" spans="1:8">
      <c r="A24" s="24" t="s">
        <v>1045</v>
      </c>
      <c r="B24" t="s">
        <v>1040</v>
      </c>
      <c r="C24" t="s">
        <v>1059</v>
      </c>
      <c r="G24" s="24" t="s">
        <v>1045</v>
      </c>
      <c r="H24" t="s">
        <v>1040</v>
      </c>
    </row>
    <row r="25" spans="1:8">
      <c r="A25" s="25" t="s">
        <v>1047</v>
      </c>
      <c r="B25" s="21">
        <v>13</v>
      </c>
      <c r="C25" s="21">
        <v>13</v>
      </c>
      <c r="G25" s="25" t="s">
        <v>1063</v>
      </c>
      <c r="H25" s="21">
        <v>30</v>
      </c>
    </row>
    <row r="26" spans="1:8">
      <c r="A26" s="25" t="s">
        <v>1048</v>
      </c>
      <c r="B26" s="21">
        <v>13</v>
      </c>
      <c r="C26" s="21">
        <v>13</v>
      </c>
      <c r="G26" s="25" t="s">
        <v>1061</v>
      </c>
      <c r="H26" s="21">
        <v>34</v>
      </c>
    </row>
    <row r="27" spans="1:8">
      <c r="A27" s="25" t="s">
        <v>1049</v>
      </c>
      <c r="B27" s="21">
        <v>28</v>
      </c>
      <c r="C27" s="21">
        <v>28</v>
      </c>
      <c r="G27" s="25" t="s">
        <v>1065</v>
      </c>
      <c r="H27" s="21">
        <v>26</v>
      </c>
    </row>
    <row r="28" spans="1:8">
      <c r="A28" s="25" t="s">
        <v>1050</v>
      </c>
      <c r="B28" s="21">
        <v>24</v>
      </c>
      <c r="C28" s="21">
        <v>24</v>
      </c>
      <c r="G28" s="25" t="s">
        <v>1066</v>
      </c>
      <c r="H28" s="21">
        <v>38</v>
      </c>
    </row>
    <row r="29" spans="1:8">
      <c r="A29" s="25" t="s">
        <v>1051</v>
      </c>
      <c r="B29" s="21">
        <v>23</v>
      </c>
      <c r="C29" s="21">
        <v>23</v>
      </c>
      <c r="G29" s="25" t="s">
        <v>1064</v>
      </c>
      <c r="H29" s="21">
        <v>27</v>
      </c>
    </row>
    <row r="30" spans="1:8">
      <c r="A30" s="25" t="s">
        <v>1052</v>
      </c>
      <c r="B30" s="21">
        <v>17</v>
      </c>
      <c r="C30" s="21">
        <v>17</v>
      </c>
      <c r="G30" s="25" t="s">
        <v>1060</v>
      </c>
      <c r="H30" s="21">
        <v>27</v>
      </c>
    </row>
    <row r="31" spans="1:8">
      <c r="A31" s="25" t="s">
        <v>1053</v>
      </c>
      <c r="B31" s="21">
        <v>11</v>
      </c>
      <c r="C31" s="21">
        <v>11</v>
      </c>
      <c r="G31" s="25" t="s">
        <v>1062</v>
      </c>
      <c r="H31" s="21">
        <v>25</v>
      </c>
    </row>
    <row r="32" spans="1:8">
      <c r="A32" s="25" t="s">
        <v>1054</v>
      </c>
      <c r="B32" s="21">
        <v>11</v>
      </c>
      <c r="C32" s="21">
        <v>11</v>
      </c>
      <c r="G32" s="25" t="s">
        <v>1046</v>
      </c>
      <c r="H32" s="21">
        <v>207</v>
      </c>
    </row>
    <row r="33" spans="1:10">
      <c r="A33" s="25" t="s">
        <v>1055</v>
      </c>
      <c r="B33" s="21">
        <v>14</v>
      </c>
      <c r="C33" s="21">
        <v>14</v>
      </c>
    </row>
    <row r="34" spans="1:10">
      <c r="A34" s="25" t="s">
        <v>1056</v>
      </c>
      <c r="B34" s="21">
        <v>30</v>
      </c>
      <c r="C34" s="21">
        <v>30</v>
      </c>
    </row>
    <row r="35" spans="1:10">
      <c r="A35" s="25" t="s">
        <v>1057</v>
      </c>
      <c r="B35" s="21">
        <v>14</v>
      </c>
      <c r="C35" s="21">
        <v>14</v>
      </c>
    </row>
    <row r="36" spans="1:10">
      <c r="A36" s="25" t="s">
        <v>1058</v>
      </c>
      <c r="B36" s="21">
        <v>9</v>
      </c>
      <c r="C36" s="21">
        <v>9</v>
      </c>
    </row>
    <row r="37" spans="1:10">
      <c r="A37" s="25" t="s">
        <v>1046</v>
      </c>
      <c r="B37" s="21">
        <v>207</v>
      </c>
      <c r="C37" s="21">
        <v>207</v>
      </c>
    </row>
    <row r="45" spans="1:10">
      <c r="F45" t="s">
        <v>1067</v>
      </c>
      <c r="H45" t="s">
        <v>1073</v>
      </c>
      <c r="I45" t="str">
        <f>B74</f>
        <v>R03</v>
      </c>
    </row>
    <row r="47" spans="1:10">
      <c r="A47" s="24" t="s">
        <v>1045</v>
      </c>
      <c r="B47" t="s">
        <v>1040</v>
      </c>
      <c r="C47" t="s">
        <v>1041</v>
      </c>
      <c r="F47" t="s">
        <v>1068</v>
      </c>
      <c r="G47" t="s">
        <v>1069</v>
      </c>
      <c r="H47" t="s">
        <v>1070</v>
      </c>
      <c r="I47" t="s">
        <v>1071</v>
      </c>
      <c r="J47" t="s">
        <v>1072</v>
      </c>
    </row>
    <row r="48" spans="1:10">
      <c r="A48" s="25" t="s">
        <v>11</v>
      </c>
      <c r="B48" s="21">
        <v>189</v>
      </c>
      <c r="C48" s="22">
        <v>18415</v>
      </c>
      <c r="F48" s="25" t="s">
        <v>11</v>
      </c>
      <c r="G48" s="21">
        <v>189</v>
      </c>
      <c r="H48" s="26">
        <v>18415</v>
      </c>
      <c r="I48" t="e">
        <f>IF(F48=$I$45,G48,NA())</f>
        <v>#N/A</v>
      </c>
      <c r="J48" t="e">
        <f>IF(F48=$I$45,H48,NA())</f>
        <v>#N/A</v>
      </c>
    </row>
    <row r="49" spans="1:10">
      <c r="A49" s="25" t="s">
        <v>9</v>
      </c>
      <c r="B49" s="21">
        <v>218</v>
      </c>
      <c r="C49" s="22">
        <v>20581</v>
      </c>
      <c r="F49" s="25" t="s">
        <v>9</v>
      </c>
      <c r="G49" s="21">
        <v>218</v>
      </c>
      <c r="H49" s="26">
        <v>20581</v>
      </c>
      <c r="I49" t="e">
        <f t="shared" ref="I49:I52" si="0">IF(F49=$I$45,G49,NA())</f>
        <v>#N/A</v>
      </c>
      <c r="J49" t="e">
        <f t="shared" ref="J49:J52" si="1">IF(F49=$I$45,H49,NA())</f>
        <v>#N/A</v>
      </c>
    </row>
    <row r="50" spans="1:10">
      <c r="A50" s="25" t="s">
        <v>6</v>
      </c>
      <c r="B50" s="21">
        <v>207</v>
      </c>
      <c r="C50" s="22">
        <v>20872</v>
      </c>
      <c r="F50" s="25" t="s">
        <v>6</v>
      </c>
      <c r="G50" s="21">
        <v>207</v>
      </c>
      <c r="H50" s="26">
        <v>20872</v>
      </c>
      <c r="I50">
        <f t="shared" si="0"/>
        <v>207</v>
      </c>
      <c r="J50">
        <f t="shared" si="1"/>
        <v>20872</v>
      </c>
    </row>
    <row r="51" spans="1:10">
      <c r="A51" s="25" t="s">
        <v>13</v>
      </c>
      <c r="B51" s="21">
        <v>186</v>
      </c>
      <c r="C51" s="22">
        <v>16651</v>
      </c>
      <c r="F51" s="25" t="s">
        <v>13</v>
      </c>
      <c r="G51" s="21">
        <v>186</v>
      </c>
      <c r="H51" s="26">
        <v>16651</v>
      </c>
      <c r="I51" t="e">
        <f t="shared" si="0"/>
        <v>#N/A</v>
      </c>
      <c r="J51" t="e">
        <f t="shared" si="1"/>
        <v>#N/A</v>
      </c>
    </row>
    <row r="52" spans="1:10">
      <c r="A52" s="25" t="s">
        <v>10</v>
      </c>
      <c r="B52" s="21">
        <v>200</v>
      </c>
      <c r="C52" s="22">
        <v>20104</v>
      </c>
      <c r="F52" s="25" t="s">
        <v>10</v>
      </c>
      <c r="G52" s="21">
        <v>200</v>
      </c>
      <c r="H52" s="26">
        <v>20104</v>
      </c>
      <c r="I52" t="e">
        <f t="shared" si="0"/>
        <v>#N/A</v>
      </c>
      <c r="J52" t="e">
        <f t="shared" si="1"/>
        <v>#N/A</v>
      </c>
    </row>
    <row r="53" spans="1:10">
      <c r="A53" s="25" t="s">
        <v>1046</v>
      </c>
      <c r="B53" s="21">
        <v>1000</v>
      </c>
      <c r="C53" s="22">
        <v>96623</v>
      </c>
    </row>
    <row r="71" spans="2:9">
      <c r="H71" t="s">
        <v>1076</v>
      </c>
    </row>
    <row r="72" spans="2:9">
      <c r="H72" t="s">
        <v>1077</v>
      </c>
      <c r="I72" s="42">
        <f>A10/A4</f>
        <v>0.20699999999999999</v>
      </c>
    </row>
    <row r="73" spans="2:9">
      <c r="B73" s="24" t="s">
        <v>1045</v>
      </c>
      <c r="H73" t="s">
        <v>1069</v>
      </c>
      <c r="I73">
        <f>_xlfn.XLOOKUP(B74,F48:F52,G48:G52)</f>
        <v>207</v>
      </c>
    </row>
    <row r="74" spans="2:9">
      <c r="B74" s="27" t="s">
        <v>6</v>
      </c>
      <c r="H74" t="s">
        <v>1070</v>
      </c>
      <c r="I74">
        <f>_xlfn.XLOOKUP(B74,F48:F52,H48:H52)</f>
        <v>20872</v>
      </c>
    </row>
    <row r="76" spans="2:9">
      <c r="H76" t="s">
        <v>1078</v>
      </c>
      <c r="I76">
        <f>_xlfn.RANK.AVG(I73,G48:G52)</f>
        <v>2</v>
      </c>
    </row>
    <row r="77" spans="2:9">
      <c r="H77" t="s">
        <v>1079</v>
      </c>
      <c r="I77">
        <f>_xlfn.RANK.AVG(I74,H48:H52)</f>
        <v>1</v>
      </c>
    </row>
    <row r="79" spans="2:9">
      <c r="H79" t="s">
        <v>1080</v>
      </c>
    </row>
    <row r="80" spans="2:9">
      <c r="B80" s="24" t="s">
        <v>1040</v>
      </c>
      <c r="C80" s="24" t="s">
        <v>1074</v>
      </c>
    </row>
    <row r="81" spans="2:9">
      <c r="B81" s="24" t="s">
        <v>1045</v>
      </c>
      <c r="C81" t="s">
        <v>999</v>
      </c>
      <c r="D81" t="s">
        <v>998</v>
      </c>
      <c r="E81" t="s">
        <v>1046</v>
      </c>
      <c r="I81" t="str">
        <f>"% of calls:"&amp;TEXT(I72,"0%")</f>
        <v>% of calls:21%</v>
      </c>
    </row>
    <row r="82" spans="2:9">
      <c r="B82" s="25" t="s">
        <v>1002</v>
      </c>
      <c r="C82" s="21">
        <v>144</v>
      </c>
      <c r="D82" s="21">
        <v>132</v>
      </c>
      <c r="E82" s="21">
        <v>276</v>
      </c>
      <c r="I82" t="str">
        <f>IF(COUNTA(B74:B78)&gt;1," ","Call Rank:" &amp;I76)</f>
        <v>Call Rank:2</v>
      </c>
    </row>
    <row r="83" spans="2:9">
      <c r="B83" s="25" t="s">
        <v>1001</v>
      </c>
      <c r="C83" s="21">
        <v>326</v>
      </c>
      <c r="D83" s="21">
        <v>63</v>
      </c>
      <c r="E83" s="21">
        <v>389</v>
      </c>
      <c r="I83" t="str">
        <f>IF(COUNTA(B74:B78)&gt;1,"","Amount Rank:" &amp;I77)</f>
        <v>Amount Rank:1</v>
      </c>
    </row>
    <row r="84" spans="2:9">
      <c r="B84" s="25" t="s">
        <v>1000</v>
      </c>
      <c r="C84" s="21">
        <v>129</v>
      </c>
      <c r="D84" s="21">
        <v>206</v>
      </c>
      <c r="E84" s="21">
        <v>335</v>
      </c>
    </row>
    <row r="85" spans="2:9">
      <c r="B85" s="25" t="s">
        <v>1046</v>
      </c>
      <c r="C85" s="21">
        <v>599</v>
      </c>
      <c r="D85" s="21">
        <v>401</v>
      </c>
      <c r="E85" s="21">
        <v>1000</v>
      </c>
    </row>
    <row r="90" spans="2:9">
      <c r="B90" s="24" t="s">
        <v>1045</v>
      </c>
      <c r="C90" t="s">
        <v>1040</v>
      </c>
    </row>
    <row r="91" spans="2:9">
      <c r="B91" s="25">
        <v>0</v>
      </c>
      <c r="C91" s="21">
        <v>1</v>
      </c>
    </row>
    <row r="92" spans="2:9">
      <c r="B92" s="25">
        <v>1</v>
      </c>
      <c r="C92" s="21">
        <v>1</v>
      </c>
    </row>
    <row r="93" spans="2:9">
      <c r="B93" s="25">
        <v>2</v>
      </c>
      <c r="C93" s="21">
        <v>11</v>
      </c>
    </row>
    <row r="94" spans="2:9">
      <c r="B94" s="25">
        <v>3</v>
      </c>
      <c r="C94" s="21">
        <v>46</v>
      </c>
    </row>
    <row r="95" spans="2:9">
      <c r="B95" s="25">
        <v>4</v>
      </c>
      <c r="C95" s="21">
        <v>88</v>
      </c>
    </row>
    <row r="96" spans="2:9">
      <c r="B96" s="25">
        <v>5</v>
      </c>
      <c r="C96" s="21">
        <v>60</v>
      </c>
    </row>
    <row r="97" spans="2:8">
      <c r="B97" s="25" t="s">
        <v>1046</v>
      </c>
      <c r="C97" s="21">
        <v>207</v>
      </c>
    </row>
    <row r="102" spans="2:8">
      <c r="B102" s="24" t="s">
        <v>1041</v>
      </c>
      <c r="C102" s="24" t="s">
        <v>1074</v>
      </c>
    </row>
    <row r="103" spans="2:8">
      <c r="B103" s="24" t="s">
        <v>1045</v>
      </c>
      <c r="C103" t="s">
        <v>11</v>
      </c>
      <c r="D103" t="s">
        <v>9</v>
      </c>
      <c r="E103" t="s">
        <v>6</v>
      </c>
      <c r="F103" t="s">
        <v>13</v>
      </c>
      <c r="G103" t="s">
        <v>10</v>
      </c>
      <c r="H103" t="s">
        <v>1046</v>
      </c>
    </row>
    <row r="104" spans="2:8">
      <c r="B104" s="25" t="s">
        <v>1002</v>
      </c>
      <c r="C104" s="29"/>
      <c r="D104" s="29"/>
      <c r="E104" s="29"/>
      <c r="F104" s="29"/>
      <c r="G104" s="29"/>
      <c r="H104" s="29"/>
    </row>
    <row r="105" spans="2:8">
      <c r="B105" s="28" t="s">
        <v>20</v>
      </c>
      <c r="C105" s="22">
        <v>891</v>
      </c>
      <c r="D105" s="22">
        <v>1332</v>
      </c>
      <c r="E105" s="22">
        <v>1282</v>
      </c>
      <c r="F105" s="22">
        <v>739</v>
      </c>
      <c r="G105" s="22">
        <v>560</v>
      </c>
      <c r="H105" s="22">
        <v>4804</v>
      </c>
    </row>
    <row r="106" spans="2:8">
      <c r="B106" s="28" t="s">
        <v>12</v>
      </c>
      <c r="C106" s="22">
        <v>1991</v>
      </c>
      <c r="D106" s="22">
        <v>1886</v>
      </c>
      <c r="E106" s="22">
        <v>1206</v>
      </c>
      <c r="F106" s="22">
        <v>884</v>
      </c>
      <c r="G106" s="22">
        <v>1722</v>
      </c>
      <c r="H106" s="22">
        <v>7689</v>
      </c>
    </row>
    <row r="107" spans="2:8">
      <c r="B107" s="28" t="s">
        <v>8</v>
      </c>
      <c r="C107" s="22">
        <v>1163</v>
      </c>
      <c r="D107" s="22">
        <v>1180</v>
      </c>
      <c r="E107" s="22">
        <v>1616</v>
      </c>
      <c r="F107" s="22">
        <v>1043</v>
      </c>
      <c r="G107" s="22">
        <v>1747</v>
      </c>
      <c r="H107" s="22">
        <v>6749</v>
      </c>
    </row>
    <row r="108" spans="2:8">
      <c r="B108" s="28" t="s">
        <v>16</v>
      </c>
      <c r="C108" s="22">
        <v>1438</v>
      </c>
      <c r="D108" s="22">
        <v>1616</v>
      </c>
      <c r="E108" s="22">
        <v>866</v>
      </c>
      <c r="F108" s="22">
        <v>829</v>
      </c>
      <c r="G108" s="22">
        <v>2070</v>
      </c>
      <c r="H108" s="22">
        <v>6819</v>
      </c>
    </row>
    <row r="109" spans="2:8">
      <c r="B109" s="25" t="s">
        <v>1001</v>
      </c>
      <c r="C109" s="29"/>
      <c r="D109" s="29"/>
      <c r="E109" s="29"/>
      <c r="F109" s="29"/>
      <c r="G109" s="29"/>
      <c r="H109" s="29"/>
    </row>
    <row r="110" spans="2:8">
      <c r="B110" s="28" t="s">
        <v>24</v>
      </c>
      <c r="C110" s="22">
        <v>1233</v>
      </c>
      <c r="D110" s="22">
        <v>223</v>
      </c>
      <c r="E110" s="22">
        <v>1680</v>
      </c>
      <c r="F110" s="22">
        <v>990</v>
      </c>
      <c r="G110" s="22">
        <v>1508</v>
      </c>
      <c r="H110" s="22">
        <v>5634</v>
      </c>
    </row>
    <row r="111" spans="2:8">
      <c r="B111" s="28" t="s">
        <v>15</v>
      </c>
      <c r="C111" s="22">
        <v>1598</v>
      </c>
      <c r="D111" s="22">
        <v>1907</v>
      </c>
      <c r="E111" s="22">
        <v>869</v>
      </c>
      <c r="F111" s="22">
        <v>1426</v>
      </c>
      <c r="G111" s="22">
        <v>1416</v>
      </c>
      <c r="H111" s="22">
        <v>7216</v>
      </c>
    </row>
    <row r="112" spans="2:8">
      <c r="B112" s="28" t="s">
        <v>5</v>
      </c>
      <c r="C112" s="22">
        <v>900</v>
      </c>
      <c r="D112" s="22">
        <v>1016</v>
      </c>
      <c r="E112" s="22">
        <v>960</v>
      </c>
      <c r="F112" s="22">
        <v>940</v>
      </c>
      <c r="G112" s="22">
        <v>1193</v>
      </c>
      <c r="H112" s="22">
        <v>5009</v>
      </c>
    </row>
    <row r="113" spans="2:8">
      <c r="B113" s="28" t="s">
        <v>18</v>
      </c>
      <c r="C113" s="22">
        <v>900</v>
      </c>
      <c r="D113" s="22">
        <v>1470</v>
      </c>
      <c r="E113" s="22">
        <v>1617</v>
      </c>
      <c r="F113" s="22">
        <v>1314</v>
      </c>
      <c r="G113" s="22">
        <v>941</v>
      </c>
      <c r="H113" s="22">
        <v>6242</v>
      </c>
    </row>
    <row r="114" spans="2:8">
      <c r="B114" s="28" t="s">
        <v>14</v>
      </c>
      <c r="C114" s="22">
        <v>1255</v>
      </c>
      <c r="D114" s="22">
        <v>516</v>
      </c>
      <c r="E114" s="22">
        <v>1874</v>
      </c>
      <c r="F114" s="22">
        <v>1863</v>
      </c>
      <c r="G114" s="22">
        <v>1722</v>
      </c>
      <c r="H114" s="22">
        <v>7230</v>
      </c>
    </row>
    <row r="115" spans="2:8">
      <c r="B115" s="28" t="s">
        <v>19</v>
      </c>
      <c r="C115" s="22">
        <v>1138</v>
      </c>
      <c r="D115" s="22">
        <v>1898</v>
      </c>
      <c r="E115" s="22">
        <v>1482</v>
      </c>
      <c r="F115" s="22">
        <v>846</v>
      </c>
      <c r="G115" s="22">
        <v>1154</v>
      </c>
      <c r="H115" s="22">
        <v>6518</v>
      </c>
    </row>
    <row r="116" spans="2:8">
      <c r="B116" s="25" t="s">
        <v>1000</v>
      </c>
      <c r="C116" s="29"/>
      <c r="D116" s="29"/>
      <c r="E116" s="29"/>
      <c r="F116" s="29"/>
      <c r="G116" s="29"/>
      <c r="H116" s="29"/>
    </row>
    <row r="117" spans="2:8">
      <c r="B117" s="28" t="s">
        <v>17</v>
      </c>
      <c r="C117" s="22">
        <v>1655</v>
      </c>
      <c r="D117" s="22">
        <v>805</v>
      </c>
      <c r="E117" s="22">
        <v>2263</v>
      </c>
      <c r="F117" s="22">
        <v>987</v>
      </c>
      <c r="G117" s="22">
        <v>1075</v>
      </c>
      <c r="H117" s="22">
        <v>6785</v>
      </c>
    </row>
    <row r="118" spans="2:8">
      <c r="B118" s="28" t="s">
        <v>23</v>
      </c>
      <c r="C118" s="22">
        <v>1104</v>
      </c>
      <c r="D118" s="22">
        <v>2280</v>
      </c>
      <c r="E118" s="22">
        <v>1445</v>
      </c>
      <c r="F118" s="22">
        <v>1722</v>
      </c>
      <c r="G118" s="22">
        <v>1196</v>
      </c>
      <c r="H118" s="22">
        <v>7747</v>
      </c>
    </row>
    <row r="119" spans="2:8">
      <c r="B119" s="28" t="s">
        <v>7</v>
      </c>
      <c r="C119" s="22">
        <v>372</v>
      </c>
      <c r="D119" s="22">
        <v>1818</v>
      </c>
      <c r="E119" s="22">
        <v>1346</v>
      </c>
      <c r="F119" s="22">
        <v>1156</v>
      </c>
      <c r="G119" s="22">
        <v>1484</v>
      </c>
      <c r="H119" s="22">
        <v>6176</v>
      </c>
    </row>
    <row r="120" spans="2:8">
      <c r="B120" s="28" t="s">
        <v>22</v>
      </c>
      <c r="C120" s="22">
        <v>1415</v>
      </c>
      <c r="D120" s="22">
        <v>1271</v>
      </c>
      <c r="E120" s="22">
        <v>1214</v>
      </c>
      <c r="F120" s="22">
        <v>1135</v>
      </c>
      <c r="G120" s="22">
        <v>1566</v>
      </c>
      <c r="H120" s="22">
        <v>6601</v>
      </c>
    </row>
    <row r="121" spans="2:8">
      <c r="B121" s="28" t="s">
        <v>21</v>
      </c>
      <c r="C121" s="22">
        <v>1362</v>
      </c>
      <c r="D121" s="22">
        <v>1363</v>
      </c>
      <c r="E121" s="22">
        <v>1152</v>
      </c>
      <c r="F121" s="22">
        <v>777</v>
      </c>
      <c r="G121" s="22">
        <v>750</v>
      </c>
      <c r="H121" s="22">
        <v>5404</v>
      </c>
    </row>
  </sheetData>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4" zoomScale="110" zoomScaleNormal="110" workbookViewId="0">
      <selection activeCell="D8" sqref="D8"/>
    </sheetView>
  </sheetViews>
  <sheetFormatPr defaultRowHeight="14.25"/>
  <cols>
    <col min="1" max="1" width="3.25" customWidth="1"/>
    <col min="2" max="2" width="14.625" customWidth="1"/>
    <col min="3" max="3" width="12.875" customWidth="1"/>
    <col min="4" max="4" width="16.625" customWidth="1"/>
    <col min="5" max="5" width="15" customWidth="1"/>
    <col min="6" max="6" width="16.125" customWidth="1"/>
    <col min="7" max="7" width="17.25" customWidth="1"/>
    <col min="8" max="8" width="18.375" customWidth="1"/>
    <col min="9" max="9" width="17.25" customWidth="1"/>
    <col min="10" max="12" width="15.5" customWidth="1"/>
    <col min="13" max="16" width="7.5" customWidth="1"/>
    <col min="17" max="17" width="14.625" customWidth="1"/>
    <col min="20" max="20" width="10.625" customWidth="1"/>
  </cols>
  <sheetData>
    <row r="1" spans="2:20" s="4" customFormat="1" ht="48" customHeight="1">
      <c r="B1" s="5" t="s">
        <v>1003</v>
      </c>
    </row>
    <row r="2" spans="2:20">
      <c r="R2" s="1"/>
    </row>
    <row r="3" spans="2:20" ht="1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Customer Centre Report</vt:lpstr>
      <vt:lpstr>Pivots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jobyar ahmed</cp:lastModifiedBy>
  <dcterms:created xsi:type="dcterms:W3CDTF">2021-03-14T20:21:32Z</dcterms:created>
  <dcterms:modified xsi:type="dcterms:W3CDTF">2025-11-29T17:26:36Z</dcterms:modified>
</cp:coreProperties>
</file>